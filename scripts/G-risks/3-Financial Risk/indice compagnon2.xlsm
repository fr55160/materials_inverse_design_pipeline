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rançois\Documents\Hephaistos\pipeline\G-risks\3-Financial Risk\"/>
    </mc:Choice>
  </mc:AlternateContent>
  <xr:revisionPtr revIDLastSave="0" documentId="13_ncr:1_{B050F5F4-AFF9-46E8-8D7D-CAE8DDF32347}" xr6:coauthVersionLast="47" xr6:coauthVersionMax="47" xr10:uidLastSave="{00000000-0000-0000-0000-000000000000}"/>
  <bookViews>
    <workbookView xWindow="-98" yWindow="-98" windowWidth="28996" windowHeight="15675" xr2:uid="{37908437-66FC-4673-9B53-3A004DA1C842}"/>
  </bookViews>
  <sheets>
    <sheet name="Periodic Table" sheetId="5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22" i="5" l="1"/>
  <c r="Y22" i="5"/>
  <c r="Z22" i="5"/>
  <c r="AA22" i="5"/>
  <c r="AB22" i="5"/>
  <c r="AC22" i="5"/>
  <c r="AD22" i="5"/>
  <c r="AE22" i="5"/>
  <c r="AF22" i="5"/>
  <c r="AG22" i="5"/>
  <c r="B21" i="5"/>
  <c r="B22" i="5" s="1"/>
  <c r="C21" i="5"/>
  <c r="C22" i="5" s="1"/>
  <c r="D21" i="5"/>
  <c r="D22" i="5" s="1"/>
  <c r="E21" i="5"/>
  <c r="E22" i="5" s="1"/>
  <c r="F21" i="5"/>
  <c r="F22" i="5" s="1"/>
  <c r="G21" i="5"/>
  <c r="G22" i="5" s="1"/>
  <c r="H21" i="5"/>
  <c r="H22" i="5" s="1"/>
  <c r="I21" i="5"/>
  <c r="I22" i="5" s="1"/>
  <c r="J21" i="5"/>
  <c r="J22" i="5" s="1"/>
  <c r="K21" i="5"/>
  <c r="K22" i="5" s="1"/>
  <c r="L21" i="5"/>
  <c r="L22" i="5" s="1"/>
  <c r="M21" i="5"/>
  <c r="M22" i="5" s="1"/>
  <c r="N21" i="5"/>
  <c r="N22" i="5" s="1"/>
  <c r="O21" i="5"/>
  <c r="O22" i="5" s="1"/>
  <c r="P21" i="5"/>
  <c r="P22" i="5" s="1"/>
  <c r="Q21" i="5"/>
  <c r="Q22" i="5" s="1"/>
  <c r="R21" i="5"/>
  <c r="R22" i="5" s="1"/>
  <c r="S21" i="5"/>
  <c r="S22" i="5" s="1"/>
  <c r="T21" i="5"/>
  <c r="T22" i="5" s="1"/>
  <c r="U21" i="5"/>
  <c r="U22" i="5" s="1"/>
  <c r="V21" i="5"/>
  <c r="V22" i="5" s="1"/>
  <c r="W21" i="5"/>
  <c r="W22" i="5" s="1"/>
  <c r="X21" i="5"/>
  <c r="Y21" i="5"/>
  <c r="Z21" i="5"/>
  <c r="AA21" i="5"/>
  <c r="AB21" i="5"/>
  <c r="AC21" i="5"/>
  <c r="AD21" i="5"/>
  <c r="AE21" i="5"/>
  <c r="AF21" i="5"/>
  <c r="AG21" i="5"/>
  <c r="AH21" i="5"/>
  <c r="AH22" i="5" s="1"/>
  <c r="AI21" i="5"/>
  <c r="AI22" i="5" s="1"/>
  <c r="AJ21" i="5"/>
  <c r="AJ22" i="5" s="1"/>
  <c r="AK21" i="5"/>
  <c r="AK22" i="5" s="1"/>
  <c r="AL21" i="5"/>
  <c r="AL22" i="5" s="1"/>
  <c r="AM21" i="5"/>
  <c r="AM22" i="5" s="1"/>
  <c r="A21" i="5"/>
  <c r="A22" i="5" s="1"/>
  <c r="A23" i="5" l="1"/>
  <c r="A25" i="5"/>
  <c r="A24" i="5"/>
</calcChain>
</file>

<file path=xl/sharedStrings.xml><?xml version="1.0" encoding="utf-8"?>
<sst xmlns="http://schemas.openxmlformats.org/spreadsheetml/2006/main" count="157" uniqueCount="118">
  <si>
    <t>Sc</t>
  </si>
  <si>
    <t>Ga</t>
  </si>
  <si>
    <t>Zr</t>
  </si>
  <si>
    <t>Ru</t>
  </si>
  <si>
    <t>Rh</t>
  </si>
  <si>
    <t>Cd</t>
  </si>
  <si>
    <t>In</t>
  </si>
  <si>
    <t>Te</t>
  </si>
  <si>
    <t>Hf</t>
  </si>
  <si>
    <t>Re</t>
  </si>
  <si>
    <t>Ir</t>
  </si>
  <si>
    <t>Pd</t>
  </si>
  <si>
    <t>La</t>
  </si>
  <si>
    <t>As</t>
  </si>
  <si>
    <t>Bi</t>
  </si>
  <si>
    <t>Co</t>
  </si>
  <si>
    <t>Sm</t>
  </si>
  <si>
    <t>Sb</t>
  </si>
  <si>
    <t>V</t>
  </si>
  <si>
    <t>Ce</t>
  </si>
  <si>
    <t>Ag</t>
  </si>
  <si>
    <t>Ge</t>
  </si>
  <si>
    <t>Mo</t>
  </si>
  <si>
    <t>Y</t>
  </si>
  <si>
    <t>Ta</t>
  </si>
  <si>
    <t>Pt</t>
  </si>
  <si>
    <t>Au</t>
  </si>
  <si>
    <t>Zn</t>
  </si>
  <si>
    <t>Hg</t>
  </si>
  <si>
    <t>Pb</t>
  </si>
  <si>
    <t>Cu</t>
  </si>
  <si>
    <t>W</t>
  </si>
  <si>
    <t>Mn</t>
  </si>
  <si>
    <t>Sn</t>
  </si>
  <si>
    <t>Cr</t>
  </si>
  <si>
    <t>Ni</t>
  </si>
  <si>
    <t>Nb</t>
  </si>
  <si>
    <t>Mg</t>
  </si>
  <si>
    <t>Al</t>
  </si>
  <si>
    <t>Si</t>
  </si>
  <si>
    <t>Ti</t>
  </si>
  <si>
    <t>Fe</t>
  </si>
  <si>
    <t>Li</t>
  </si>
  <si>
    <t>Tb</t>
  </si>
  <si>
    <t>Dy</t>
  </si>
  <si>
    <t>Er</t>
  </si>
  <si>
    <t>Ba</t>
  </si>
  <si>
    <t>Pr</t>
  </si>
  <si>
    <t>Ne</t>
  </si>
  <si>
    <t>Nd</t>
  </si>
  <si>
    <t>H</t>
  </si>
  <si>
    <t>He</t>
  </si>
  <si>
    <t>Be</t>
  </si>
  <si>
    <t>B</t>
  </si>
  <si>
    <t>C</t>
  </si>
  <si>
    <t>N</t>
  </si>
  <si>
    <t>O</t>
  </si>
  <si>
    <t>F</t>
  </si>
  <si>
    <t>Na</t>
  </si>
  <si>
    <t>P</t>
  </si>
  <si>
    <t>S</t>
  </si>
  <si>
    <t>Cl</t>
  </si>
  <si>
    <t>Ar</t>
  </si>
  <si>
    <t>K</t>
  </si>
  <si>
    <t>Ca</t>
  </si>
  <si>
    <t>Se</t>
  </si>
  <si>
    <t>Br</t>
  </si>
  <si>
    <t>Kr</t>
  </si>
  <si>
    <t>Rb</t>
  </si>
  <si>
    <t>Sr</t>
  </si>
  <si>
    <t>Tc</t>
  </si>
  <si>
    <t>I</t>
  </si>
  <si>
    <t>Xe</t>
  </si>
  <si>
    <t>Cs</t>
  </si>
  <si>
    <t>Lu</t>
  </si>
  <si>
    <t>Os</t>
  </si>
  <si>
    <t>Tl</t>
  </si>
  <si>
    <t>Po</t>
  </si>
  <si>
    <t>At</t>
  </si>
  <si>
    <t>Rn</t>
  </si>
  <si>
    <t>Fr</t>
  </si>
  <si>
    <t>Ra</t>
  </si>
  <si>
    <t>Lr</t>
  </si>
  <si>
    <t>Rf</t>
  </si>
  <si>
    <t>Db</t>
  </si>
  <si>
    <t>Sg</t>
  </si>
  <si>
    <t>Bh</t>
  </si>
  <si>
    <t>Hs</t>
  </si>
  <si>
    <t>Mt</t>
  </si>
  <si>
    <t>Ds</t>
  </si>
  <si>
    <t>Rg</t>
  </si>
  <si>
    <t>Cn</t>
  </si>
  <si>
    <t>Nh</t>
  </si>
  <si>
    <t>Fl</t>
  </si>
  <si>
    <t>Mc</t>
  </si>
  <si>
    <t>Lv</t>
  </si>
  <si>
    <t>Ts</t>
  </si>
  <si>
    <t>Og</t>
  </si>
  <si>
    <t>Pm</t>
  </si>
  <si>
    <t>Eu</t>
  </si>
  <si>
    <t>Gd</t>
  </si>
  <si>
    <t>Ho</t>
  </si>
  <si>
    <t>Tm</t>
  </si>
  <si>
    <t>Yb</t>
  </si>
  <si>
    <t>Ac</t>
  </si>
  <si>
    <t>Th</t>
  </si>
  <si>
    <t>Pa</t>
  </si>
  <si>
    <t>U</t>
  </si>
  <si>
    <t>Np</t>
  </si>
  <si>
    <t>Pu</t>
  </si>
  <si>
    <t>Am</t>
  </si>
  <si>
    <t>Cm</t>
  </si>
  <si>
    <t>Bk</t>
  </si>
  <si>
    <t>Cf</t>
  </si>
  <si>
    <t>Es</t>
  </si>
  <si>
    <t>Fm</t>
  </si>
  <si>
    <t>Md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</si>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</sst>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8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7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77FF01"/>
        <bgColor indexed="64"/>
      </patternFill>
    </fill>
    <fill>
      <patternFill patternType="solid">
        <fgColor rgb="FF7BFF02"/>
        <bgColor indexed="64"/>
      </patternFill>
    </fill>
    <fill>
      <patternFill patternType="solid">
        <fgColor rgb="FFFF4033"/>
        <bgColor indexed="64"/>
      </patternFill>
    </fill>
    <fill>
      <patternFill patternType="solid">
        <fgColor rgb="FFBDFF1A"/>
        <bgColor indexed="64"/>
      </patternFill>
    </fill>
    <fill>
      <patternFill patternType="solid">
        <fgColor rgb="FFFFED33"/>
        <bgColor indexed="64"/>
      </patternFill>
    </fill>
    <fill>
      <patternFill patternType="solid">
        <fgColor rgb="FFFFB133"/>
        <bgColor indexed="64"/>
      </patternFill>
    </fill>
    <fill>
      <patternFill patternType="solid">
        <fgColor rgb="FF88FF07"/>
        <bgColor indexed="64"/>
      </patternFill>
    </fill>
    <fill>
      <patternFill patternType="solid">
        <fgColor rgb="FF82FF05"/>
        <bgColor indexed="64"/>
      </patternFill>
    </fill>
    <fill>
      <patternFill patternType="solid">
        <fgColor rgb="FF91FF0A"/>
        <bgColor indexed="64"/>
      </patternFill>
    </fill>
    <fill>
      <patternFill patternType="solid">
        <fgColor rgb="FFD5FF23"/>
        <bgColor indexed="64"/>
      </patternFill>
    </fill>
    <fill>
      <patternFill patternType="solid">
        <fgColor rgb="FFFF7E33"/>
        <bgColor indexed="64"/>
      </patternFill>
    </fill>
    <fill>
      <patternFill patternType="solid">
        <fgColor rgb="FF8AFF07"/>
        <bgColor indexed="64"/>
      </patternFill>
    </fill>
    <fill>
      <patternFill patternType="solid">
        <fgColor rgb="FFFFCF33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AEFF15"/>
        <bgColor indexed="64"/>
      </patternFill>
    </fill>
    <fill>
      <patternFill patternType="solid">
        <fgColor rgb="FFFF4533"/>
        <bgColor indexed="64"/>
      </patternFill>
    </fill>
    <fill>
      <patternFill patternType="solid">
        <fgColor rgb="FFFF6533"/>
        <bgColor indexed="64"/>
      </patternFill>
    </fill>
    <fill>
      <patternFill patternType="solid">
        <fgColor rgb="FFFF6F33"/>
        <bgColor indexed="64"/>
      </patternFill>
    </fill>
    <fill>
      <patternFill patternType="solid">
        <fgColor rgb="FFFFF233"/>
        <bgColor indexed="64"/>
      </patternFill>
    </fill>
    <fill>
      <patternFill patternType="solid">
        <fgColor rgb="FFFF4133"/>
        <bgColor indexed="64"/>
      </patternFill>
    </fill>
    <fill>
      <patternFill patternType="solid">
        <fgColor rgb="FFFFEC33"/>
        <bgColor indexed="64"/>
      </patternFill>
    </fill>
    <fill>
      <patternFill patternType="solid">
        <fgColor rgb="FFFF4233"/>
        <bgColor indexed="64"/>
      </patternFill>
    </fill>
    <fill>
      <patternFill patternType="solid">
        <fgColor rgb="FF96FF0C"/>
        <bgColor indexed="64"/>
      </patternFill>
    </fill>
    <fill>
      <patternFill patternType="solid">
        <fgColor rgb="FFFFA933"/>
        <bgColor indexed="64"/>
      </patternFill>
    </fill>
    <fill>
      <patternFill patternType="solid">
        <fgColor rgb="FFFF4A33"/>
        <bgColor indexed="64"/>
      </patternFill>
    </fill>
    <fill>
      <patternFill patternType="solid">
        <fgColor rgb="FFFFEA33"/>
        <bgColor indexed="64"/>
      </patternFill>
    </fill>
    <fill>
      <patternFill patternType="solid">
        <fgColor rgb="FF79FF01"/>
        <bgColor indexed="64"/>
      </patternFill>
    </fill>
    <fill>
      <patternFill patternType="solid">
        <fgColor rgb="FFBDFF1B"/>
        <bgColor indexed="64"/>
      </patternFill>
    </fill>
    <fill>
      <patternFill patternType="solid">
        <fgColor rgb="FFFF8F33"/>
        <bgColor indexed="64"/>
      </patternFill>
    </fill>
  </fills>
  <borders count="8">
    <border>
      <left/>
      <right/>
      <top/>
      <bottom/>
      <diagonal/>
    </border>
    <border>
      <left style="dotted">
        <color theme="2"/>
      </left>
      <right style="dotted">
        <color theme="2"/>
      </right>
      <top style="dotted">
        <color theme="2"/>
      </top>
      <bottom style="dotted">
        <color theme="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2" fillId="0" borderId="0"/>
  </cellStyleXfs>
  <cellXfs count="56">
    <xf numFmtId="0" fontId="0" fillId="0" borderId="0" xfId="0"/>
    <xf numFmtId="0" fontId="1" fillId="2" borderId="1" xfId="0" applyFont="1" applyFill="1" applyBorder="1"/>
    <xf numFmtId="0" fontId="3" fillId="0" borderId="0" xfId="1" applyFont="1" applyAlignment="1">
      <alignment horizontal="center" textRotation="90"/>
    </xf>
    <xf numFmtId="0" fontId="2" fillId="0" borderId="0" xfId="1" applyAlignment="1">
      <alignment horizontal="center"/>
    </xf>
    <xf numFmtId="0" fontId="4" fillId="0" borderId="0" xfId="1" applyFont="1" applyAlignment="1">
      <alignment horizontal="center" wrapText="1"/>
    </xf>
    <xf numFmtId="0" fontId="2" fillId="0" borderId="0" xfId="1" applyAlignment="1">
      <alignment horizontal="right"/>
    </xf>
    <xf numFmtId="0" fontId="5" fillId="0" borderId="0" xfId="1" applyFont="1" applyAlignment="1">
      <alignment horizontal="center" vertical="center"/>
    </xf>
    <xf numFmtId="0" fontId="2" fillId="3" borderId="0" xfId="1" applyFill="1" applyAlignment="1">
      <alignment horizontal="center"/>
    </xf>
    <xf numFmtId="0" fontId="4" fillId="0" borderId="0" xfId="1" applyFont="1" applyAlignment="1">
      <alignment horizontal="center"/>
    </xf>
    <xf numFmtId="0" fontId="4" fillId="0" borderId="0" xfId="1" applyFont="1" applyAlignment="1">
      <alignment horizontal="right"/>
    </xf>
    <xf numFmtId="0" fontId="2" fillId="0" borderId="0" xfId="1" applyAlignment="1">
      <alignment horizontal="center" textRotation="90"/>
    </xf>
    <xf numFmtId="0" fontId="4" fillId="0" borderId="0" xfId="1" applyFont="1" applyAlignment="1">
      <alignment horizontal="center" vertical="center"/>
    </xf>
    <xf numFmtId="0" fontId="4" fillId="0" borderId="0" xfId="1" applyFont="1" applyAlignment="1">
      <alignment horizontal="right" vertical="center"/>
    </xf>
    <xf numFmtId="0" fontId="5" fillId="0" borderId="2" xfId="1" applyFont="1" applyBorder="1" applyAlignment="1">
      <alignment horizontal="center"/>
    </xf>
    <xf numFmtId="0" fontId="4" fillId="0" borderId="3" xfId="1" applyFont="1" applyBorder="1" applyAlignment="1">
      <alignment horizontal="center" wrapText="1"/>
    </xf>
    <xf numFmtId="0" fontId="5" fillId="0" borderId="0" xfId="1" applyFont="1" applyAlignment="1">
      <alignment horizontal="center"/>
    </xf>
    <xf numFmtId="0" fontId="6" fillId="0" borderId="0" xfId="1" applyFont="1" applyAlignment="1">
      <alignment horizontal="right"/>
    </xf>
    <xf numFmtId="0" fontId="4" fillId="0" borderId="4" xfId="1" applyFont="1" applyBorder="1" applyAlignment="1">
      <alignment horizontal="center" wrapText="1"/>
    </xf>
    <xf numFmtId="0" fontId="5" fillId="0" borderId="5" xfId="1" applyFont="1" applyBorder="1" applyAlignment="1">
      <alignment horizontal="center"/>
    </xf>
    <xf numFmtId="0" fontId="4" fillId="0" borderId="0" xfId="1" applyFont="1" applyAlignment="1">
      <alignment horizontal="right" vertical="center" wrapText="1"/>
    </xf>
    <xf numFmtId="0" fontId="4" fillId="0" borderId="6" xfId="1" applyFont="1" applyBorder="1" applyAlignment="1">
      <alignment horizontal="right" vertical="center" wrapText="1"/>
    </xf>
    <xf numFmtId="0" fontId="4" fillId="0" borderId="7" xfId="1" applyFont="1" applyBorder="1" applyAlignment="1">
      <alignment horizontal="right" vertical="center" wrapText="1"/>
    </xf>
    <xf numFmtId="0" fontId="5" fillId="3" borderId="0" xfId="1" applyFont="1" applyFill="1" applyAlignment="1">
      <alignment horizontal="center"/>
    </xf>
    <xf numFmtId="0" fontId="2" fillId="3" borderId="0" xfId="1" applyFill="1" applyAlignment="1">
      <alignment horizontal="right"/>
    </xf>
    <xf numFmtId="0" fontId="5" fillId="4" borderId="2" xfId="1" applyFont="1" applyFill="1" applyBorder="1" applyAlignment="1">
      <alignment horizontal="center"/>
    </xf>
    <xf numFmtId="0" fontId="5" fillId="4" borderId="5" xfId="1" applyFont="1" applyFill="1" applyBorder="1" applyAlignment="1">
      <alignment horizontal="center"/>
    </xf>
    <xf numFmtId="0" fontId="5" fillId="5" borderId="2" xfId="1" applyFont="1" applyFill="1" applyBorder="1" applyAlignment="1">
      <alignment horizontal="center"/>
    </xf>
    <xf numFmtId="0" fontId="5" fillId="6" borderId="2" xfId="1" applyFont="1" applyFill="1" applyBorder="1" applyAlignment="1">
      <alignment horizontal="center"/>
    </xf>
    <xf numFmtId="0" fontId="5" fillId="7" borderId="2" xfId="1" applyFont="1" applyFill="1" applyBorder="1" applyAlignment="1">
      <alignment horizontal="center" wrapText="1"/>
    </xf>
    <xf numFmtId="0" fontId="5" fillId="8" borderId="2" xfId="1" applyFont="1" applyFill="1" applyBorder="1" applyAlignment="1">
      <alignment horizontal="center"/>
    </xf>
    <xf numFmtId="0" fontId="5" fillId="9" borderId="2" xfId="1" applyFont="1" applyFill="1" applyBorder="1" applyAlignment="1">
      <alignment horizontal="center"/>
    </xf>
    <xf numFmtId="0" fontId="5" fillId="10" borderId="2" xfId="1" applyFont="1" applyFill="1" applyBorder="1" applyAlignment="1">
      <alignment horizontal="center"/>
    </xf>
    <xf numFmtId="0" fontId="5" fillId="11" borderId="2" xfId="1" applyFont="1" applyFill="1" applyBorder="1" applyAlignment="1">
      <alignment horizontal="center"/>
    </xf>
    <xf numFmtId="0" fontId="5" fillId="12" borderId="2" xfId="1" applyFont="1" applyFill="1" applyBorder="1" applyAlignment="1">
      <alignment horizontal="center"/>
    </xf>
    <xf numFmtId="0" fontId="5" fillId="13" borderId="2" xfId="1" applyFont="1" applyFill="1" applyBorder="1" applyAlignment="1">
      <alignment horizontal="center"/>
    </xf>
    <xf numFmtId="0" fontId="5" fillId="7" borderId="2" xfId="1" applyFont="1" applyFill="1" applyBorder="1" applyAlignment="1">
      <alignment horizontal="center"/>
    </xf>
    <xf numFmtId="0" fontId="5" fillId="14" borderId="2" xfId="1" applyFont="1" applyFill="1" applyBorder="1" applyAlignment="1">
      <alignment horizontal="center"/>
    </xf>
    <xf numFmtId="0" fontId="5" fillId="15" borderId="2" xfId="1" applyFont="1" applyFill="1" applyBorder="1" applyAlignment="1">
      <alignment horizontal="center"/>
    </xf>
    <xf numFmtId="0" fontId="5" fillId="16" borderId="2" xfId="1" applyFont="1" applyFill="1" applyBorder="1" applyAlignment="1">
      <alignment horizontal="center"/>
    </xf>
    <xf numFmtId="0" fontId="5" fillId="17" borderId="2" xfId="1" applyFont="1" applyFill="1" applyBorder="1" applyAlignment="1">
      <alignment horizontal="center"/>
    </xf>
    <xf numFmtId="0" fontId="5" fillId="18" borderId="2" xfId="1" applyFont="1" applyFill="1" applyBorder="1" applyAlignment="1">
      <alignment horizontal="center"/>
    </xf>
    <xf numFmtId="0" fontId="5" fillId="19" borderId="2" xfId="1" applyFont="1" applyFill="1" applyBorder="1" applyAlignment="1">
      <alignment horizontal="center"/>
    </xf>
    <xf numFmtId="0" fontId="5" fillId="20" borderId="2" xfId="1" applyFont="1" applyFill="1" applyBorder="1" applyAlignment="1">
      <alignment horizontal="center"/>
    </xf>
    <xf numFmtId="0" fontId="5" fillId="21" borderId="2" xfId="1" applyFont="1" applyFill="1" applyBorder="1" applyAlignment="1">
      <alignment horizontal="center"/>
    </xf>
    <xf numFmtId="0" fontId="5" fillId="22" borderId="2" xfId="1" applyFont="1" applyFill="1" applyBorder="1" applyAlignment="1">
      <alignment horizontal="center"/>
    </xf>
    <xf numFmtId="0" fontId="5" fillId="23" borderId="2" xfId="1" applyFont="1" applyFill="1" applyBorder="1" applyAlignment="1">
      <alignment horizontal="center"/>
    </xf>
    <xf numFmtId="0" fontId="5" fillId="24" borderId="2" xfId="1" applyFont="1" applyFill="1" applyBorder="1" applyAlignment="1">
      <alignment horizontal="center"/>
    </xf>
    <xf numFmtId="0" fontId="5" fillId="25" borderId="2" xfId="1" applyFont="1" applyFill="1" applyBorder="1" applyAlignment="1">
      <alignment horizontal="center"/>
    </xf>
    <xf numFmtId="0" fontId="5" fillId="26" borderId="2" xfId="1" applyFont="1" applyFill="1" applyBorder="1" applyAlignment="1">
      <alignment horizontal="center"/>
    </xf>
    <xf numFmtId="0" fontId="5" fillId="27" borderId="2" xfId="1" applyFont="1" applyFill="1" applyBorder="1" applyAlignment="1">
      <alignment horizontal="center"/>
    </xf>
    <xf numFmtId="0" fontId="5" fillId="28" borderId="2" xfId="1" applyFont="1" applyFill="1" applyBorder="1" applyAlignment="1">
      <alignment horizontal="center"/>
    </xf>
    <xf numFmtId="0" fontId="5" fillId="29" borderId="2" xfId="1" applyFont="1" applyFill="1" applyBorder="1" applyAlignment="1">
      <alignment horizontal="center"/>
    </xf>
    <xf numFmtId="0" fontId="5" fillId="30" borderId="2" xfId="1" applyFont="1" applyFill="1" applyBorder="1" applyAlignment="1">
      <alignment horizontal="center"/>
    </xf>
    <xf numFmtId="0" fontId="5" fillId="31" borderId="2" xfId="1" applyFont="1" applyFill="1" applyBorder="1" applyAlignment="1">
      <alignment horizontal="center"/>
    </xf>
    <xf numFmtId="0" fontId="5" fillId="32" borderId="2" xfId="1" applyFont="1" applyFill="1" applyBorder="1" applyAlignment="1">
      <alignment horizontal="center"/>
    </xf>
    <xf numFmtId="0" fontId="5" fillId="33" borderId="2" xfId="1" applyFont="1" applyFill="1" applyBorder="1" applyAlignment="1">
      <alignment horizontal="center"/>
    </xf>
  </cellXfs>
  <cellStyles count="2">
    <cellStyle name="Normal" xfId="0" builtinId="0"/>
    <cellStyle name="Normal 2" xfId="1" xr:uid="{956F087F-C060-4128-A548-C44C1AA5FA8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7209C-44A5-4341-9A57-41B869D25601}">
  <sheetPr codeName="Feuil4">
    <pageSetUpPr fitToPage="1"/>
  </sheetPr>
  <dimension ref="A1:AM27"/>
  <sheetViews>
    <sheetView showGridLines="0" showZeros="0" tabSelected="1" topLeftCell="A4" zoomScaleNormal="100" workbookViewId="0">
      <selection activeCell="AM22" sqref="AM22"/>
    </sheetView>
  </sheetViews>
  <sheetFormatPr baseColWidth="10" defaultColWidth="9.1328125" defaultRowHeight="12.75" x14ac:dyDescent="0.35"/>
  <cols>
    <col min="1" max="2" width="3.796875" style="7" customWidth="1"/>
    <col min="3" max="4" width="5.33203125" style="7" customWidth="1"/>
    <col min="5" max="5" width="5.33203125" style="23" customWidth="1"/>
    <col min="6" max="22" width="5.33203125" style="7" customWidth="1"/>
    <col min="23" max="25" width="3.796875" style="7" customWidth="1"/>
    <col min="26" max="251" width="9.1328125" style="7"/>
    <col min="252" max="253" width="3.796875" style="7" customWidth="1"/>
    <col min="254" max="273" width="6.796875" style="7" customWidth="1"/>
    <col min="274" max="276" width="3.796875" style="7" customWidth="1"/>
    <col min="277" max="507" width="9.1328125" style="7"/>
    <col min="508" max="509" width="3.796875" style="7" customWidth="1"/>
    <col min="510" max="529" width="6.796875" style="7" customWidth="1"/>
    <col min="530" max="532" width="3.796875" style="7" customWidth="1"/>
    <col min="533" max="763" width="9.1328125" style="7"/>
    <col min="764" max="765" width="3.796875" style="7" customWidth="1"/>
    <col min="766" max="785" width="6.796875" style="7" customWidth="1"/>
    <col min="786" max="788" width="3.796875" style="7" customWidth="1"/>
    <col min="789" max="1019" width="9.1328125" style="7"/>
    <col min="1020" max="1021" width="3.796875" style="7" customWidth="1"/>
    <col min="1022" max="1041" width="6.796875" style="7" customWidth="1"/>
    <col min="1042" max="1044" width="3.796875" style="7" customWidth="1"/>
    <col min="1045" max="1275" width="9.1328125" style="7"/>
    <col min="1276" max="1277" width="3.796875" style="7" customWidth="1"/>
    <col min="1278" max="1297" width="6.796875" style="7" customWidth="1"/>
    <col min="1298" max="1300" width="3.796875" style="7" customWidth="1"/>
    <col min="1301" max="1531" width="9.1328125" style="7"/>
    <col min="1532" max="1533" width="3.796875" style="7" customWidth="1"/>
    <col min="1534" max="1553" width="6.796875" style="7" customWidth="1"/>
    <col min="1554" max="1556" width="3.796875" style="7" customWidth="1"/>
    <col min="1557" max="1787" width="9.1328125" style="7"/>
    <col min="1788" max="1789" width="3.796875" style="7" customWidth="1"/>
    <col min="1790" max="1809" width="6.796875" style="7" customWidth="1"/>
    <col min="1810" max="1812" width="3.796875" style="7" customWidth="1"/>
    <col min="1813" max="2043" width="9.1328125" style="7"/>
    <col min="2044" max="2045" width="3.796875" style="7" customWidth="1"/>
    <col min="2046" max="2065" width="6.796875" style="7" customWidth="1"/>
    <col min="2066" max="2068" width="3.796875" style="7" customWidth="1"/>
    <col min="2069" max="2299" width="9.1328125" style="7"/>
    <col min="2300" max="2301" width="3.796875" style="7" customWidth="1"/>
    <col min="2302" max="2321" width="6.796875" style="7" customWidth="1"/>
    <col min="2322" max="2324" width="3.796875" style="7" customWidth="1"/>
    <col min="2325" max="2555" width="9.1328125" style="7"/>
    <col min="2556" max="2557" width="3.796875" style="7" customWidth="1"/>
    <col min="2558" max="2577" width="6.796875" style="7" customWidth="1"/>
    <col min="2578" max="2580" width="3.796875" style="7" customWidth="1"/>
    <col min="2581" max="2811" width="9.1328125" style="7"/>
    <col min="2812" max="2813" width="3.796875" style="7" customWidth="1"/>
    <col min="2814" max="2833" width="6.796875" style="7" customWidth="1"/>
    <col min="2834" max="2836" width="3.796875" style="7" customWidth="1"/>
    <col min="2837" max="3067" width="9.1328125" style="7"/>
    <col min="3068" max="3069" width="3.796875" style="7" customWidth="1"/>
    <col min="3070" max="3089" width="6.796875" style="7" customWidth="1"/>
    <col min="3090" max="3092" width="3.796875" style="7" customWidth="1"/>
    <col min="3093" max="3323" width="9.1328125" style="7"/>
    <col min="3324" max="3325" width="3.796875" style="7" customWidth="1"/>
    <col min="3326" max="3345" width="6.796875" style="7" customWidth="1"/>
    <col min="3346" max="3348" width="3.796875" style="7" customWidth="1"/>
    <col min="3349" max="3579" width="9.1328125" style="7"/>
    <col min="3580" max="3581" width="3.796875" style="7" customWidth="1"/>
    <col min="3582" max="3601" width="6.796875" style="7" customWidth="1"/>
    <col min="3602" max="3604" width="3.796875" style="7" customWidth="1"/>
    <col min="3605" max="3835" width="9.1328125" style="7"/>
    <col min="3836" max="3837" width="3.796875" style="7" customWidth="1"/>
    <col min="3838" max="3857" width="6.796875" style="7" customWidth="1"/>
    <col min="3858" max="3860" width="3.796875" style="7" customWidth="1"/>
    <col min="3861" max="4091" width="9.1328125" style="7"/>
    <col min="4092" max="4093" width="3.796875" style="7" customWidth="1"/>
    <col min="4094" max="4113" width="6.796875" style="7" customWidth="1"/>
    <col min="4114" max="4116" width="3.796875" style="7" customWidth="1"/>
    <col min="4117" max="4347" width="9.1328125" style="7"/>
    <col min="4348" max="4349" width="3.796875" style="7" customWidth="1"/>
    <col min="4350" max="4369" width="6.796875" style="7" customWidth="1"/>
    <col min="4370" max="4372" width="3.796875" style="7" customWidth="1"/>
    <col min="4373" max="4603" width="9.1328125" style="7"/>
    <col min="4604" max="4605" width="3.796875" style="7" customWidth="1"/>
    <col min="4606" max="4625" width="6.796875" style="7" customWidth="1"/>
    <col min="4626" max="4628" width="3.796875" style="7" customWidth="1"/>
    <col min="4629" max="4859" width="9.1328125" style="7"/>
    <col min="4860" max="4861" width="3.796875" style="7" customWidth="1"/>
    <col min="4862" max="4881" width="6.796875" style="7" customWidth="1"/>
    <col min="4882" max="4884" width="3.796875" style="7" customWidth="1"/>
    <col min="4885" max="5115" width="9.1328125" style="7"/>
    <col min="5116" max="5117" width="3.796875" style="7" customWidth="1"/>
    <col min="5118" max="5137" width="6.796875" style="7" customWidth="1"/>
    <col min="5138" max="5140" width="3.796875" style="7" customWidth="1"/>
    <col min="5141" max="5371" width="9.1328125" style="7"/>
    <col min="5372" max="5373" width="3.796875" style="7" customWidth="1"/>
    <col min="5374" max="5393" width="6.796875" style="7" customWidth="1"/>
    <col min="5394" max="5396" width="3.796875" style="7" customWidth="1"/>
    <col min="5397" max="5627" width="9.1328125" style="7"/>
    <col min="5628" max="5629" width="3.796875" style="7" customWidth="1"/>
    <col min="5630" max="5649" width="6.796875" style="7" customWidth="1"/>
    <col min="5650" max="5652" width="3.796875" style="7" customWidth="1"/>
    <col min="5653" max="5883" width="9.1328125" style="7"/>
    <col min="5884" max="5885" width="3.796875" style="7" customWidth="1"/>
    <col min="5886" max="5905" width="6.796875" style="7" customWidth="1"/>
    <col min="5906" max="5908" width="3.796875" style="7" customWidth="1"/>
    <col min="5909" max="6139" width="9.1328125" style="7"/>
    <col min="6140" max="6141" width="3.796875" style="7" customWidth="1"/>
    <col min="6142" max="6161" width="6.796875" style="7" customWidth="1"/>
    <col min="6162" max="6164" width="3.796875" style="7" customWidth="1"/>
    <col min="6165" max="6395" width="9.1328125" style="7"/>
    <col min="6396" max="6397" width="3.796875" style="7" customWidth="1"/>
    <col min="6398" max="6417" width="6.796875" style="7" customWidth="1"/>
    <col min="6418" max="6420" width="3.796875" style="7" customWidth="1"/>
    <col min="6421" max="6651" width="9.1328125" style="7"/>
    <col min="6652" max="6653" width="3.796875" style="7" customWidth="1"/>
    <col min="6654" max="6673" width="6.796875" style="7" customWidth="1"/>
    <col min="6674" max="6676" width="3.796875" style="7" customWidth="1"/>
    <col min="6677" max="6907" width="9.1328125" style="7"/>
    <col min="6908" max="6909" width="3.796875" style="7" customWidth="1"/>
    <col min="6910" max="6929" width="6.796875" style="7" customWidth="1"/>
    <col min="6930" max="6932" width="3.796875" style="7" customWidth="1"/>
    <col min="6933" max="7163" width="9.1328125" style="7"/>
    <col min="7164" max="7165" width="3.796875" style="7" customWidth="1"/>
    <col min="7166" max="7185" width="6.796875" style="7" customWidth="1"/>
    <col min="7186" max="7188" width="3.796875" style="7" customWidth="1"/>
    <col min="7189" max="7419" width="9.1328125" style="7"/>
    <col min="7420" max="7421" width="3.796875" style="7" customWidth="1"/>
    <col min="7422" max="7441" width="6.796875" style="7" customWidth="1"/>
    <col min="7442" max="7444" width="3.796875" style="7" customWidth="1"/>
    <col min="7445" max="7675" width="9.1328125" style="7"/>
    <col min="7676" max="7677" width="3.796875" style="7" customWidth="1"/>
    <col min="7678" max="7697" width="6.796875" style="7" customWidth="1"/>
    <col min="7698" max="7700" width="3.796875" style="7" customWidth="1"/>
    <col min="7701" max="7931" width="9.1328125" style="7"/>
    <col min="7932" max="7933" width="3.796875" style="7" customWidth="1"/>
    <col min="7934" max="7953" width="6.796875" style="7" customWidth="1"/>
    <col min="7954" max="7956" width="3.796875" style="7" customWidth="1"/>
    <col min="7957" max="8187" width="9.1328125" style="7"/>
    <col min="8188" max="8189" width="3.796875" style="7" customWidth="1"/>
    <col min="8190" max="8209" width="6.796875" style="7" customWidth="1"/>
    <col min="8210" max="8212" width="3.796875" style="7" customWidth="1"/>
    <col min="8213" max="8443" width="9.1328125" style="7"/>
    <col min="8444" max="8445" width="3.796875" style="7" customWidth="1"/>
    <col min="8446" max="8465" width="6.796875" style="7" customWidth="1"/>
    <col min="8466" max="8468" width="3.796875" style="7" customWidth="1"/>
    <col min="8469" max="8699" width="9.1328125" style="7"/>
    <col min="8700" max="8701" width="3.796875" style="7" customWidth="1"/>
    <col min="8702" max="8721" width="6.796875" style="7" customWidth="1"/>
    <col min="8722" max="8724" width="3.796875" style="7" customWidth="1"/>
    <col min="8725" max="8955" width="9.1328125" style="7"/>
    <col min="8956" max="8957" width="3.796875" style="7" customWidth="1"/>
    <col min="8958" max="8977" width="6.796875" style="7" customWidth="1"/>
    <col min="8978" max="8980" width="3.796875" style="7" customWidth="1"/>
    <col min="8981" max="9211" width="9.1328125" style="7"/>
    <col min="9212" max="9213" width="3.796875" style="7" customWidth="1"/>
    <col min="9214" max="9233" width="6.796875" style="7" customWidth="1"/>
    <col min="9234" max="9236" width="3.796875" style="7" customWidth="1"/>
    <col min="9237" max="9467" width="9.1328125" style="7"/>
    <col min="9468" max="9469" width="3.796875" style="7" customWidth="1"/>
    <col min="9470" max="9489" width="6.796875" style="7" customWidth="1"/>
    <col min="9490" max="9492" width="3.796875" style="7" customWidth="1"/>
    <col min="9493" max="9723" width="9.1328125" style="7"/>
    <col min="9724" max="9725" width="3.796875" style="7" customWidth="1"/>
    <col min="9726" max="9745" width="6.796875" style="7" customWidth="1"/>
    <col min="9746" max="9748" width="3.796875" style="7" customWidth="1"/>
    <col min="9749" max="9979" width="9.1328125" style="7"/>
    <col min="9980" max="9981" width="3.796875" style="7" customWidth="1"/>
    <col min="9982" max="10001" width="6.796875" style="7" customWidth="1"/>
    <col min="10002" max="10004" width="3.796875" style="7" customWidth="1"/>
    <col min="10005" max="10235" width="9.1328125" style="7"/>
    <col min="10236" max="10237" width="3.796875" style="7" customWidth="1"/>
    <col min="10238" max="10257" width="6.796875" style="7" customWidth="1"/>
    <col min="10258" max="10260" width="3.796875" style="7" customWidth="1"/>
    <col min="10261" max="10491" width="9.1328125" style="7"/>
    <col min="10492" max="10493" width="3.796875" style="7" customWidth="1"/>
    <col min="10494" max="10513" width="6.796875" style="7" customWidth="1"/>
    <col min="10514" max="10516" width="3.796875" style="7" customWidth="1"/>
    <col min="10517" max="10747" width="9.1328125" style="7"/>
    <col min="10748" max="10749" width="3.796875" style="7" customWidth="1"/>
    <col min="10750" max="10769" width="6.796875" style="7" customWidth="1"/>
    <col min="10770" max="10772" width="3.796875" style="7" customWidth="1"/>
    <col min="10773" max="11003" width="9.1328125" style="7"/>
    <col min="11004" max="11005" width="3.796875" style="7" customWidth="1"/>
    <col min="11006" max="11025" width="6.796875" style="7" customWidth="1"/>
    <col min="11026" max="11028" width="3.796875" style="7" customWidth="1"/>
    <col min="11029" max="11259" width="9.1328125" style="7"/>
    <col min="11260" max="11261" width="3.796875" style="7" customWidth="1"/>
    <col min="11262" max="11281" width="6.796875" style="7" customWidth="1"/>
    <col min="11282" max="11284" width="3.796875" style="7" customWidth="1"/>
    <col min="11285" max="11515" width="9.1328125" style="7"/>
    <col min="11516" max="11517" width="3.796875" style="7" customWidth="1"/>
    <col min="11518" max="11537" width="6.796875" style="7" customWidth="1"/>
    <col min="11538" max="11540" width="3.796875" style="7" customWidth="1"/>
    <col min="11541" max="11771" width="9.1328125" style="7"/>
    <col min="11772" max="11773" width="3.796875" style="7" customWidth="1"/>
    <col min="11774" max="11793" width="6.796875" style="7" customWidth="1"/>
    <col min="11794" max="11796" width="3.796875" style="7" customWidth="1"/>
    <col min="11797" max="12027" width="9.1328125" style="7"/>
    <col min="12028" max="12029" width="3.796875" style="7" customWidth="1"/>
    <col min="12030" max="12049" width="6.796875" style="7" customWidth="1"/>
    <col min="12050" max="12052" width="3.796875" style="7" customWidth="1"/>
    <col min="12053" max="12283" width="9.1328125" style="7"/>
    <col min="12284" max="12285" width="3.796875" style="7" customWidth="1"/>
    <col min="12286" max="12305" width="6.796875" style="7" customWidth="1"/>
    <col min="12306" max="12308" width="3.796875" style="7" customWidth="1"/>
    <col min="12309" max="12539" width="9.1328125" style="7"/>
    <col min="12540" max="12541" width="3.796875" style="7" customWidth="1"/>
    <col min="12542" max="12561" width="6.796875" style="7" customWidth="1"/>
    <col min="12562" max="12564" width="3.796875" style="7" customWidth="1"/>
    <col min="12565" max="12795" width="9.1328125" style="7"/>
    <col min="12796" max="12797" width="3.796875" style="7" customWidth="1"/>
    <col min="12798" max="12817" width="6.796875" style="7" customWidth="1"/>
    <col min="12818" max="12820" width="3.796875" style="7" customWidth="1"/>
    <col min="12821" max="13051" width="9.1328125" style="7"/>
    <col min="13052" max="13053" width="3.796875" style="7" customWidth="1"/>
    <col min="13054" max="13073" width="6.796875" style="7" customWidth="1"/>
    <col min="13074" max="13076" width="3.796875" style="7" customWidth="1"/>
    <col min="13077" max="13307" width="9.1328125" style="7"/>
    <col min="13308" max="13309" width="3.796875" style="7" customWidth="1"/>
    <col min="13310" max="13329" width="6.796875" style="7" customWidth="1"/>
    <col min="13330" max="13332" width="3.796875" style="7" customWidth="1"/>
    <col min="13333" max="13563" width="9.1328125" style="7"/>
    <col min="13564" max="13565" width="3.796875" style="7" customWidth="1"/>
    <col min="13566" max="13585" width="6.796875" style="7" customWidth="1"/>
    <col min="13586" max="13588" width="3.796875" style="7" customWidth="1"/>
    <col min="13589" max="13819" width="9.1328125" style="7"/>
    <col min="13820" max="13821" width="3.796875" style="7" customWidth="1"/>
    <col min="13822" max="13841" width="6.796875" style="7" customWidth="1"/>
    <col min="13842" max="13844" width="3.796875" style="7" customWidth="1"/>
    <col min="13845" max="14075" width="9.1328125" style="7"/>
    <col min="14076" max="14077" width="3.796875" style="7" customWidth="1"/>
    <col min="14078" max="14097" width="6.796875" style="7" customWidth="1"/>
    <col min="14098" max="14100" width="3.796875" style="7" customWidth="1"/>
    <col min="14101" max="14331" width="9.1328125" style="7"/>
    <col min="14332" max="14333" width="3.796875" style="7" customWidth="1"/>
    <col min="14334" max="14353" width="6.796875" style="7" customWidth="1"/>
    <col min="14354" max="14356" width="3.796875" style="7" customWidth="1"/>
    <col min="14357" max="14587" width="9.1328125" style="7"/>
    <col min="14588" max="14589" width="3.796875" style="7" customWidth="1"/>
    <col min="14590" max="14609" width="6.796875" style="7" customWidth="1"/>
    <col min="14610" max="14612" width="3.796875" style="7" customWidth="1"/>
    <col min="14613" max="14843" width="9.1328125" style="7"/>
    <col min="14844" max="14845" width="3.796875" style="7" customWidth="1"/>
    <col min="14846" max="14865" width="6.796875" style="7" customWidth="1"/>
    <col min="14866" max="14868" width="3.796875" style="7" customWidth="1"/>
    <col min="14869" max="15099" width="9.1328125" style="7"/>
    <col min="15100" max="15101" width="3.796875" style="7" customWidth="1"/>
    <col min="15102" max="15121" width="6.796875" style="7" customWidth="1"/>
    <col min="15122" max="15124" width="3.796875" style="7" customWidth="1"/>
    <col min="15125" max="15355" width="9.1328125" style="7"/>
    <col min="15356" max="15357" width="3.796875" style="7" customWidth="1"/>
    <col min="15358" max="15377" width="6.796875" style="7" customWidth="1"/>
    <col min="15378" max="15380" width="3.796875" style="7" customWidth="1"/>
    <col min="15381" max="15611" width="9.1328125" style="7"/>
    <col min="15612" max="15613" width="3.796875" style="7" customWidth="1"/>
    <col min="15614" max="15633" width="6.796875" style="7" customWidth="1"/>
    <col min="15634" max="15636" width="3.796875" style="7" customWidth="1"/>
    <col min="15637" max="15867" width="9.1328125" style="7"/>
    <col min="15868" max="15869" width="3.796875" style="7" customWidth="1"/>
    <col min="15870" max="15889" width="6.796875" style="7" customWidth="1"/>
    <col min="15890" max="15892" width="3.796875" style="7" customWidth="1"/>
    <col min="15893" max="16123" width="9.1328125" style="7"/>
    <col min="16124" max="16125" width="3.796875" style="7" customWidth="1"/>
    <col min="16126" max="16145" width="6.796875" style="7" customWidth="1"/>
    <col min="16146" max="16148" width="3.796875" style="7" customWidth="1"/>
    <col min="16149" max="16384" width="9.1328125" style="7"/>
  </cols>
  <sheetData>
    <row r="1" spans="1:25" ht="24" customHeight="1" x14ac:dyDescent="0.4">
      <c r="A1" s="2"/>
      <c r="B1" s="3"/>
      <c r="C1" s="4"/>
      <c r="D1" s="3"/>
      <c r="E1" s="5"/>
      <c r="F1" s="3"/>
      <c r="G1" s="3"/>
      <c r="H1" s="6"/>
      <c r="I1" s="6"/>
      <c r="J1" s="6"/>
      <c r="K1" s="6"/>
      <c r="L1" s="6"/>
      <c r="M1" s="6"/>
      <c r="N1" s="6"/>
      <c r="O1" s="6"/>
      <c r="P1" s="3"/>
      <c r="Q1" s="3"/>
      <c r="R1" s="3"/>
      <c r="S1" s="3"/>
      <c r="T1" s="3"/>
      <c r="U1" s="3"/>
      <c r="V1" s="3"/>
      <c r="W1" s="3"/>
      <c r="X1" s="4"/>
      <c r="Y1" s="4"/>
    </row>
    <row r="2" spans="1:25" ht="13.15" x14ac:dyDescent="0.4">
      <c r="A2" s="2"/>
      <c r="B2" s="3"/>
      <c r="C2" s="3"/>
      <c r="D2" s="8"/>
      <c r="E2" s="9"/>
      <c r="F2" s="3"/>
      <c r="G2" s="3"/>
      <c r="H2" s="3"/>
      <c r="I2" s="3"/>
      <c r="J2" s="3"/>
      <c r="K2" s="3"/>
      <c r="L2" s="3"/>
      <c r="M2" s="3"/>
      <c r="N2" s="3"/>
      <c r="O2" s="3"/>
      <c r="P2" s="8"/>
      <c r="Q2" s="3"/>
      <c r="R2" s="3"/>
      <c r="S2" s="3"/>
      <c r="T2" s="3"/>
      <c r="U2" s="3"/>
      <c r="V2" s="3"/>
      <c r="W2" s="3"/>
      <c r="X2" s="4"/>
      <c r="Y2" s="4"/>
    </row>
    <row r="3" spans="1:25" x14ac:dyDescent="0.35">
      <c r="A3" s="10"/>
      <c r="B3" s="3"/>
      <c r="C3" s="3"/>
      <c r="D3" s="3"/>
      <c r="E3" s="5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</row>
    <row r="4" spans="1:25" ht="27" customHeight="1" x14ac:dyDescent="0.5">
      <c r="A4" s="11"/>
      <c r="B4" s="12"/>
      <c r="C4" s="13" t="s">
        <v>50</v>
      </c>
      <c r="D4" s="14"/>
      <c r="E4" s="9"/>
      <c r="F4" s="3"/>
      <c r="G4" s="3"/>
      <c r="H4" s="3"/>
      <c r="I4" s="3"/>
      <c r="J4" s="15"/>
      <c r="K4" s="3"/>
      <c r="L4" s="3"/>
      <c r="M4" s="16"/>
      <c r="N4" s="3"/>
      <c r="O4" s="3"/>
      <c r="P4" s="8"/>
      <c r="Q4" s="17"/>
      <c r="R4" s="17"/>
      <c r="S4" s="17"/>
      <c r="T4" s="17"/>
      <c r="U4" s="17"/>
      <c r="V4" s="18" t="s">
        <v>51</v>
      </c>
      <c r="W4" s="4"/>
    </row>
    <row r="5" spans="1:25" ht="27" customHeight="1" x14ac:dyDescent="0.5">
      <c r="A5" s="11"/>
      <c r="B5" s="12"/>
      <c r="C5" s="13" t="s">
        <v>42</v>
      </c>
      <c r="D5" s="18" t="s">
        <v>52</v>
      </c>
      <c r="E5" s="5"/>
      <c r="F5" s="3"/>
      <c r="G5" s="3"/>
      <c r="H5" s="3"/>
      <c r="I5" s="3"/>
      <c r="J5" s="3"/>
      <c r="K5" s="3"/>
      <c r="L5" s="3"/>
      <c r="M5" s="3"/>
      <c r="N5" s="3"/>
      <c r="O5" s="3"/>
      <c r="P5" s="19"/>
      <c r="Q5" s="13" t="s">
        <v>53</v>
      </c>
      <c r="R5" s="13" t="s">
        <v>54</v>
      </c>
      <c r="S5" s="13" t="s">
        <v>55</v>
      </c>
      <c r="T5" s="13" t="s">
        <v>56</v>
      </c>
      <c r="U5" s="18" t="s">
        <v>57</v>
      </c>
      <c r="V5" s="18" t="s">
        <v>48</v>
      </c>
    </row>
    <row r="6" spans="1:25" ht="27" customHeight="1" x14ac:dyDescent="0.5">
      <c r="A6" s="11"/>
      <c r="B6" s="12"/>
      <c r="C6" s="13" t="s">
        <v>58</v>
      </c>
      <c r="D6" s="25" t="s">
        <v>37</v>
      </c>
      <c r="E6" s="5"/>
      <c r="F6" s="17"/>
      <c r="G6" s="17"/>
      <c r="H6" s="17"/>
      <c r="I6" s="17"/>
      <c r="J6" s="17"/>
      <c r="K6" s="17"/>
      <c r="L6" s="17"/>
      <c r="M6" s="17"/>
      <c r="N6" s="17"/>
      <c r="O6" s="17"/>
      <c r="P6" s="19"/>
      <c r="Q6" s="24" t="s">
        <v>38</v>
      </c>
      <c r="R6" s="24" t="s">
        <v>39</v>
      </c>
      <c r="S6" s="13" t="s">
        <v>59</v>
      </c>
      <c r="T6" s="13" t="s">
        <v>60</v>
      </c>
      <c r="U6" s="18" t="s">
        <v>61</v>
      </c>
      <c r="V6" s="18" t="s">
        <v>62</v>
      </c>
    </row>
    <row r="7" spans="1:25" ht="27" customHeight="1" x14ac:dyDescent="0.5">
      <c r="A7" s="11"/>
      <c r="B7" s="12"/>
      <c r="C7" s="13" t="s">
        <v>63</v>
      </c>
      <c r="D7" s="18" t="s">
        <v>64</v>
      </c>
      <c r="E7" s="20"/>
      <c r="F7" s="28" t="s">
        <v>0</v>
      </c>
      <c r="G7" s="29" t="s">
        <v>40</v>
      </c>
      <c r="H7" s="30" t="s">
        <v>18</v>
      </c>
      <c r="I7" s="26" t="s">
        <v>34</v>
      </c>
      <c r="J7" s="24" t="s">
        <v>32</v>
      </c>
      <c r="K7" s="24" t="s">
        <v>41</v>
      </c>
      <c r="L7" s="31" t="s">
        <v>15</v>
      </c>
      <c r="M7" s="32" t="s">
        <v>35</v>
      </c>
      <c r="N7" s="33" t="s">
        <v>30</v>
      </c>
      <c r="O7" s="34" t="s">
        <v>27</v>
      </c>
      <c r="P7" s="21"/>
      <c r="Q7" s="35" t="s">
        <v>1</v>
      </c>
      <c r="R7" s="36" t="s">
        <v>21</v>
      </c>
      <c r="S7" s="37" t="s">
        <v>13</v>
      </c>
      <c r="T7" s="13" t="s">
        <v>65</v>
      </c>
      <c r="U7" s="18" t="s">
        <v>66</v>
      </c>
      <c r="V7" s="18" t="s">
        <v>67</v>
      </c>
    </row>
    <row r="8" spans="1:25" ht="27" customHeight="1" x14ac:dyDescent="0.5">
      <c r="A8" s="11"/>
      <c r="B8" s="12"/>
      <c r="C8" s="13" t="s">
        <v>68</v>
      </c>
      <c r="D8" s="18" t="s">
        <v>69</v>
      </c>
      <c r="E8" s="20"/>
      <c r="F8" s="38" t="s">
        <v>23</v>
      </c>
      <c r="G8" s="39" t="s">
        <v>2</v>
      </c>
      <c r="H8" s="40" t="s">
        <v>36</v>
      </c>
      <c r="I8" s="41" t="s">
        <v>22</v>
      </c>
      <c r="J8" s="13" t="s">
        <v>70</v>
      </c>
      <c r="K8" s="42" t="s">
        <v>3</v>
      </c>
      <c r="L8" s="43" t="s">
        <v>4</v>
      </c>
      <c r="M8" s="44" t="s">
        <v>11</v>
      </c>
      <c r="N8" s="45" t="s">
        <v>20</v>
      </c>
      <c r="O8" s="35" t="s">
        <v>5</v>
      </c>
      <c r="P8" s="21"/>
      <c r="Q8" s="46" t="s">
        <v>6</v>
      </c>
      <c r="R8" s="40" t="s">
        <v>33</v>
      </c>
      <c r="S8" s="47" t="s">
        <v>17</v>
      </c>
      <c r="T8" s="35" t="s">
        <v>7</v>
      </c>
      <c r="U8" s="18" t="s">
        <v>71</v>
      </c>
      <c r="V8" s="18" t="s">
        <v>72</v>
      </c>
    </row>
    <row r="9" spans="1:25" ht="27" customHeight="1" x14ac:dyDescent="0.5">
      <c r="A9" s="11"/>
      <c r="B9" s="12"/>
      <c r="C9" s="13" t="s">
        <v>73</v>
      </c>
      <c r="D9" s="18" t="s">
        <v>46</v>
      </c>
      <c r="E9" s="20"/>
      <c r="F9" s="13" t="s">
        <v>74</v>
      </c>
      <c r="G9" s="48" t="s">
        <v>8</v>
      </c>
      <c r="H9" s="49" t="s">
        <v>24</v>
      </c>
      <c r="I9" s="50" t="s">
        <v>31</v>
      </c>
      <c r="J9" s="35" t="s">
        <v>9</v>
      </c>
      <c r="K9" s="13" t="s">
        <v>75</v>
      </c>
      <c r="L9" s="51" t="s">
        <v>10</v>
      </c>
      <c r="M9" s="52" t="s">
        <v>25</v>
      </c>
      <c r="N9" s="27" t="s">
        <v>26</v>
      </c>
      <c r="O9" s="53" t="s">
        <v>28</v>
      </c>
      <c r="P9" s="21"/>
      <c r="Q9" s="13" t="s">
        <v>76</v>
      </c>
      <c r="R9" s="54" t="s">
        <v>29</v>
      </c>
      <c r="S9" s="55" t="s">
        <v>14</v>
      </c>
      <c r="T9" s="13" t="s">
        <v>77</v>
      </c>
      <c r="U9" s="18" t="s">
        <v>78</v>
      </c>
      <c r="V9" s="18" t="s">
        <v>79</v>
      </c>
    </row>
    <row r="10" spans="1:25" ht="27" customHeight="1" x14ac:dyDescent="0.5">
      <c r="A10" s="11"/>
      <c r="B10" s="12"/>
      <c r="C10" s="13" t="s">
        <v>80</v>
      </c>
      <c r="D10" s="18" t="s">
        <v>81</v>
      </c>
      <c r="E10" s="20"/>
      <c r="F10" s="13" t="s">
        <v>82</v>
      </c>
      <c r="G10" s="13" t="s">
        <v>83</v>
      </c>
      <c r="H10" s="13" t="s">
        <v>84</v>
      </c>
      <c r="I10" s="13" t="s">
        <v>85</v>
      </c>
      <c r="J10" s="13" t="s">
        <v>86</v>
      </c>
      <c r="K10" s="13" t="s">
        <v>87</v>
      </c>
      <c r="L10" s="13" t="s">
        <v>88</v>
      </c>
      <c r="M10" s="13" t="s">
        <v>89</v>
      </c>
      <c r="N10" s="13" t="s">
        <v>90</v>
      </c>
      <c r="O10" s="13" t="s">
        <v>91</v>
      </c>
      <c r="P10" s="21"/>
      <c r="Q10" s="13" t="s">
        <v>92</v>
      </c>
      <c r="R10" s="13" t="s">
        <v>93</v>
      </c>
      <c r="S10" s="13" t="s">
        <v>94</v>
      </c>
      <c r="T10" s="13" t="s">
        <v>95</v>
      </c>
      <c r="U10" s="18" t="s">
        <v>96</v>
      </c>
      <c r="V10" s="18" t="s">
        <v>97</v>
      </c>
    </row>
    <row r="11" spans="1:25" ht="27" customHeight="1" x14ac:dyDescent="0.35">
      <c r="A11" s="3"/>
      <c r="B11" s="3"/>
      <c r="C11" s="3"/>
      <c r="D11" s="3"/>
      <c r="E11" s="5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</row>
    <row r="12" spans="1:25" ht="27" customHeight="1" x14ac:dyDescent="0.5">
      <c r="A12" s="3"/>
      <c r="B12" s="3"/>
      <c r="C12" s="3"/>
      <c r="D12" s="3"/>
      <c r="E12" s="19"/>
      <c r="F12" s="13" t="s">
        <v>12</v>
      </c>
      <c r="G12" s="13" t="s">
        <v>19</v>
      </c>
      <c r="H12" s="13" t="s">
        <v>47</v>
      </c>
      <c r="I12" s="13" t="s">
        <v>49</v>
      </c>
      <c r="J12" s="13" t="s">
        <v>98</v>
      </c>
      <c r="K12" s="13" t="s">
        <v>16</v>
      </c>
      <c r="L12" s="13" t="s">
        <v>99</v>
      </c>
      <c r="M12" s="13" t="s">
        <v>100</v>
      </c>
      <c r="N12" s="13" t="s">
        <v>43</v>
      </c>
      <c r="O12" s="13" t="s">
        <v>44</v>
      </c>
      <c r="P12" s="13" t="s">
        <v>101</v>
      </c>
      <c r="Q12" s="13" t="s">
        <v>45</v>
      </c>
      <c r="R12" s="13" t="s">
        <v>102</v>
      </c>
      <c r="S12" s="18" t="s">
        <v>103</v>
      </c>
      <c r="T12" s="3"/>
      <c r="U12" s="3"/>
      <c r="V12" s="3"/>
    </row>
    <row r="13" spans="1:25" ht="27" customHeight="1" x14ac:dyDescent="0.5">
      <c r="A13" s="3"/>
      <c r="B13" s="3"/>
      <c r="C13" s="3"/>
      <c r="D13" s="3"/>
      <c r="E13" s="19"/>
      <c r="F13" s="13" t="s">
        <v>104</v>
      </c>
      <c r="G13" s="13" t="s">
        <v>105</v>
      </c>
      <c r="H13" s="13" t="s">
        <v>106</v>
      </c>
      <c r="I13" s="13" t="s">
        <v>107</v>
      </c>
      <c r="J13" s="13" t="s">
        <v>108</v>
      </c>
      <c r="K13" s="13" t="s">
        <v>109</v>
      </c>
      <c r="L13" s="13" t="s">
        <v>110</v>
      </c>
      <c r="M13" s="13" t="s">
        <v>111</v>
      </c>
      <c r="N13" s="13" t="s">
        <v>112</v>
      </c>
      <c r="O13" s="13" t="s">
        <v>113</v>
      </c>
      <c r="P13" s="13" t="s">
        <v>114</v>
      </c>
      <c r="Q13" s="13" t="s">
        <v>115</v>
      </c>
      <c r="R13" s="13" t="s">
        <v>116</v>
      </c>
      <c r="S13" s="18" t="s">
        <v>117</v>
      </c>
      <c r="T13" s="3"/>
      <c r="U13" s="3"/>
      <c r="V13" s="3"/>
    </row>
    <row r="14" spans="1:25" ht="13.5" customHeight="1" x14ac:dyDescent="0.3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</row>
    <row r="15" spans="1:25" ht="13.5" customHeight="1" x14ac:dyDescent="0.5">
      <c r="D15" s="22"/>
      <c r="E15" s="22"/>
      <c r="W15" s="22"/>
      <c r="X15" s="22"/>
      <c r="Y15" s="22"/>
    </row>
    <row r="20" spans="1:39" x14ac:dyDescent="0.35">
      <c r="A20" s="1" t="s">
        <v>0</v>
      </c>
      <c r="B20" s="1" t="s">
        <v>1</v>
      </c>
      <c r="C20" s="1" t="s">
        <v>2</v>
      </c>
      <c r="D20" s="1" t="s">
        <v>3</v>
      </c>
      <c r="E20" s="1" t="s">
        <v>4</v>
      </c>
      <c r="F20" s="1" t="s">
        <v>5</v>
      </c>
      <c r="G20" s="1" t="s">
        <v>6</v>
      </c>
      <c r="H20" s="1" t="s">
        <v>7</v>
      </c>
      <c r="I20" s="1" t="s">
        <v>8</v>
      </c>
      <c r="J20" s="1" t="s">
        <v>9</v>
      </c>
      <c r="K20" s="1" t="s">
        <v>10</v>
      </c>
      <c r="L20" s="1" t="s">
        <v>11</v>
      </c>
      <c r="M20" s="1" t="s">
        <v>13</v>
      </c>
      <c r="N20" s="1" t="s">
        <v>14</v>
      </c>
      <c r="O20" s="1" t="s">
        <v>15</v>
      </c>
      <c r="P20" s="1" t="s">
        <v>17</v>
      </c>
      <c r="Q20" s="1" t="s">
        <v>18</v>
      </c>
      <c r="R20" s="1" t="s">
        <v>20</v>
      </c>
      <c r="S20" s="1" t="s">
        <v>21</v>
      </c>
      <c r="T20" s="1" t="s">
        <v>22</v>
      </c>
      <c r="U20" s="1" t="s">
        <v>23</v>
      </c>
      <c r="V20" s="1" t="s">
        <v>24</v>
      </c>
      <c r="W20" s="1" t="s">
        <v>25</v>
      </c>
      <c r="X20" s="1" t="s">
        <v>26</v>
      </c>
      <c r="Y20" s="1" t="s">
        <v>27</v>
      </c>
      <c r="Z20" s="1" t="s">
        <v>28</v>
      </c>
      <c r="AA20" s="1" t="s">
        <v>29</v>
      </c>
      <c r="AB20" s="1" t="s">
        <v>30</v>
      </c>
      <c r="AC20" s="1" t="s">
        <v>31</v>
      </c>
      <c r="AD20" s="1" t="s">
        <v>32</v>
      </c>
      <c r="AE20" s="1" t="s">
        <v>33</v>
      </c>
      <c r="AF20" s="1" t="s">
        <v>34</v>
      </c>
      <c r="AG20" s="1" t="s">
        <v>35</v>
      </c>
      <c r="AH20" s="1" t="s">
        <v>36</v>
      </c>
      <c r="AI20" s="1" t="s">
        <v>37</v>
      </c>
      <c r="AJ20" s="1" t="s">
        <v>38</v>
      </c>
      <c r="AK20" s="1" t="s">
        <v>39</v>
      </c>
      <c r="AL20" s="1" t="s">
        <v>40</v>
      </c>
      <c r="AM20" s="1" t="s">
        <v>41</v>
      </c>
    </row>
    <row r="21" spans="1:39" ht="14.25" x14ac:dyDescent="0.45">
      <c r="A21">
        <f>1/A27</f>
        <v>2.356009124789384</v>
      </c>
      <c r="B21">
        <f t="shared" ref="B21:AM21" si="0">1/B27</f>
        <v>2.3560102347412157</v>
      </c>
      <c r="C21">
        <f t="shared" si="0"/>
        <v>1.8651261377962709</v>
      </c>
      <c r="D21">
        <f t="shared" si="0"/>
        <v>2.3390856423043038</v>
      </c>
      <c r="E21">
        <f t="shared" si="0"/>
        <v>2.2298326031718809</v>
      </c>
      <c r="F21">
        <f t="shared" si="0"/>
        <v>2.354415968573528</v>
      </c>
      <c r="G21">
        <f t="shared" si="0"/>
        <v>2.3530430918823138</v>
      </c>
      <c r="H21">
        <f t="shared" si="0"/>
        <v>2.3557991066750992</v>
      </c>
      <c r="I21">
        <f t="shared" si="0"/>
        <v>2.3489344644808163</v>
      </c>
      <c r="J21">
        <f t="shared" si="0"/>
        <v>2.3549050404238066</v>
      </c>
      <c r="K21">
        <f t="shared" si="0"/>
        <v>2.3220893146392974</v>
      </c>
      <c r="L21">
        <f t="shared" si="0"/>
        <v>2.1944496118385302</v>
      </c>
      <c r="M21">
        <f t="shared" si="0"/>
        <v>2.1419184182219118</v>
      </c>
      <c r="N21">
        <f t="shared" si="0"/>
        <v>2.0836023018297336</v>
      </c>
      <c r="O21">
        <f t="shared" si="0"/>
        <v>1.9677464108017662</v>
      </c>
      <c r="P21">
        <f t="shared" si="0"/>
        <v>1.7654430971153092</v>
      </c>
      <c r="Q21">
        <f t="shared" si="0"/>
        <v>1.7627430341877799</v>
      </c>
      <c r="R21">
        <f t="shared" si="0"/>
        <v>1.7439885376751196</v>
      </c>
      <c r="S21">
        <f t="shared" si="0"/>
        <v>1.4872538124369641</v>
      </c>
      <c r="T21">
        <f t="shared" si="0"/>
        <v>1.285122363591457</v>
      </c>
      <c r="U21">
        <f t="shared" si="0"/>
        <v>1.101312527571531</v>
      </c>
      <c r="V21">
        <f t="shared" si="0"/>
        <v>1.1651383659839105</v>
      </c>
      <c r="W21">
        <f t="shared" si="0"/>
        <v>1.7708907590320786</v>
      </c>
      <c r="X21">
        <f t="shared" si="0"/>
        <v>1.0277205337384741</v>
      </c>
      <c r="Y21">
        <f t="shared" si="0"/>
        <v>1.1354717053284578</v>
      </c>
      <c r="Z21">
        <f t="shared" si="0"/>
        <v>1.0135599718617043</v>
      </c>
      <c r="AA21">
        <f t="shared" si="0"/>
        <v>1.3646798618731262</v>
      </c>
      <c r="AB21">
        <f t="shared" si="0"/>
        <v>1.0623014002976248</v>
      </c>
      <c r="AC21">
        <f t="shared" si="0"/>
        <v>1.9958091858409011</v>
      </c>
      <c r="AD21">
        <f t="shared" si="0"/>
        <v>1.0012204123852797</v>
      </c>
      <c r="AE21">
        <f t="shared" si="0"/>
        <v>1.0061961059480511</v>
      </c>
      <c r="AF21">
        <f t="shared" si="0"/>
        <v>0.99792644128906094</v>
      </c>
      <c r="AG21">
        <f t="shared" si="0"/>
        <v>1.0933441556386425</v>
      </c>
      <c r="AH21">
        <f t="shared" si="0"/>
        <v>1.0035970118255557</v>
      </c>
      <c r="AI21">
        <f t="shared" si="0"/>
        <v>1</v>
      </c>
      <c r="AJ21">
        <f t="shared" si="0"/>
        <v>1.0000032048441179</v>
      </c>
      <c r="AK21">
        <f t="shared" si="0"/>
        <v>1</v>
      </c>
      <c r="AL21">
        <f t="shared" si="0"/>
        <v>1.3628247748104905</v>
      </c>
      <c r="AM21">
        <f t="shared" si="0"/>
        <v>1.000014764490633</v>
      </c>
    </row>
    <row r="22" spans="1:39" x14ac:dyDescent="0.35">
      <c r="A22" s="7">
        <f>A21/2.4</f>
        <v>0.98167046866224339</v>
      </c>
      <c r="B22" s="7">
        <f t="shared" ref="B22:AM22" si="1">B21/2.4</f>
        <v>0.9816709311421733</v>
      </c>
      <c r="C22" s="7">
        <f t="shared" si="1"/>
        <v>0.77713589074844625</v>
      </c>
      <c r="D22" s="7">
        <f t="shared" si="1"/>
        <v>0.97461901762679326</v>
      </c>
      <c r="E22" s="7">
        <f t="shared" si="1"/>
        <v>0.92909691798828375</v>
      </c>
      <c r="F22" s="7">
        <f t="shared" si="1"/>
        <v>0.98100665357230332</v>
      </c>
      <c r="G22" s="7">
        <f t="shared" si="1"/>
        <v>0.98043462161763073</v>
      </c>
      <c r="H22" s="7">
        <f t="shared" si="1"/>
        <v>0.98158296111462473</v>
      </c>
      <c r="I22" s="7">
        <f t="shared" si="1"/>
        <v>0.97872269353367347</v>
      </c>
      <c r="J22" s="7">
        <f t="shared" si="1"/>
        <v>0.98121043350991943</v>
      </c>
      <c r="K22" s="7">
        <f t="shared" si="1"/>
        <v>0.96753721443304064</v>
      </c>
      <c r="L22" s="7">
        <f t="shared" si="1"/>
        <v>0.9143540049327209</v>
      </c>
      <c r="M22" s="7">
        <f t="shared" si="1"/>
        <v>0.89246600759246331</v>
      </c>
      <c r="N22" s="7">
        <f t="shared" si="1"/>
        <v>0.86816762576238904</v>
      </c>
      <c r="O22" s="7">
        <f t="shared" si="1"/>
        <v>0.81989433783406929</v>
      </c>
      <c r="P22" s="7">
        <f t="shared" si="1"/>
        <v>0.73560129046471223</v>
      </c>
      <c r="Q22" s="7">
        <f t="shared" si="1"/>
        <v>0.73447626424490831</v>
      </c>
      <c r="R22" s="7">
        <f t="shared" si="1"/>
        <v>0.72666189069796649</v>
      </c>
      <c r="S22" s="7">
        <f t="shared" si="1"/>
        <v>0.61968908851540172</v>
      </c>
      <c r="T22" s="7">
        <f t="shared" si="1"/>
        <v>0.53546765149644049</v>
      </c>
      <c r="U22" s="7">
        <f t="shared" si="1"/>
        <v>0.45888021982147126</v>
      </c>
      <c r="V22" s="7">
        <f t="shared" si="1"/>
        <v>0.48547431915996275</v>
      </c>
      <c r="W22" s="7">
        <f t="shared" si="1"/>
        <v>0.73787114959669942</v>
      </c>
      <c r="X22" s="7">
        <f t="shared" si="1"/>
        <v>0.42821688905769756</v>
      </c>
      <c r="Y22" s="7">
        <f t="shared" si="1"/>
        <v>0.47311321055352407</v>
      </c>
      <c r="Z22" s="7">
        <f t="shared" si="1"/>
        <v>0.4223166549423768</v>
      </c>
      <c r="AA22" s="7">
        <f t="shared" si="1"/>
        <v>0.56861660911380263</v>
      </c>
      <c r="AB22" s="7">
        <f t="shared" si="1"/>
        <v>0.44262558345734365</v>
      </c>
      <c r="AC22" s="7">
        <f t="shared" si="1"/>
        <v>0.83158716076704209</v>
      </c>
      <c r="AD22" s="7">
        <f t="shared" si="1"/>
        <v>0.41717517182719988</v>
      </c>
      <c r="AE22" s="7">
        <f t="shared" si="1"/>
        <v>0.41924837747835464</v>
      </c>
      <c r="AF22" s="7">
        <f t="shared" si="1"/>
        <v>0.41580268387044206</v>
      </c>
      <c r="AG22" s="7">
        <f t="shared" si="1"/>
        <v>0.4555600648494344</v>
      </c>
      <c r="AH22" s="7">
        <f t="shared" si="1"/>
        <v>0.41816542159398157</v>
      </c>
      <c r="AI22" s="7">
        <f t="shared" si="1"/>
        <v>0.41666666666666669</v>
      </c>
      <c r="AJ22" s="7">
        <f t="shared" si="1"/>
        <v>0.41666800201838244</v>
      </c>
      <c r="AK22" s="7">
        <f t="shared" si="1"/>
        <v>0.41666666666666669</v>
      </c>
      <c r="AL22" s="7">
        <f t="shared" si="1"/>
        <v>0.56784365617103771</v>
      </c>
      <c r="AM22" s="7">
        <f t="shared" si="1"/>
        <v>0.41667281853776378</v>
      </c>
    </row>
    <row r="23" spans="1:39" x14ac:dyDescent="0.35">
      <c r="A23" s="7">
        <f>MIN(21:21)</f>
        <v>0.99792644128906094</v>
      </c>
    </row>
    <row r="24" spans="1:39" x14ac:dyDescent="0.35">
      <c r="A24" s="7">
        <f>MAX(21:21)</f>
        <v>2.3560102347412157</v>
      </c>
    </row>
    <row r="25" spans="1:39" x14ac:dyDescent="0.35">
      <c r="A25" s="7">
        <f>MEDIAN(21:21)</f>
        <v>1.7439885376751196</v>
      </c>
    </row>
    <row r="27" spans="1:39" ht="14.25" x14ac:dyDescent="0.45">
      <c r="A27">
        <v>0.424446573435659</v>
      </c>
      <c r="B27">
        <v>0.42444637347249897</v>
      </c>
      <c r="C27">
        <v>0.53615676695279402</v>
      </c>
      <c r="D27">
        <v>0.42751748029835701</v>
      </c>
      <c r="E27">
        <v>0.44846415761323299</v>
      </c>
      <c r="F27">
        <v>0.42473378253795602</v>
      </c>
      <c r="G27">
        <v>0.42498159232606803</v>
      </c>
      <c r="H27">
        <v>0.424484412599752</v>
      </c>
      <c r="I27">
        <v>0.42572494683074502</v>
      </c>
      <c r="J27">
        <v>0.42464557289326299</v>
      </c>
      <c r="K27">
        <v>0.43064665673953001</v>
      </c>
      <c r="L27">
        <v>0.45569512947813401</v>
      </c>
      <c r="M27">
        <v>0.46687118962735202</v>
      </c>
      <c r="N27">
        <v>0.47993803765807003</v>
      </c>
      <c r="O27">
        <v>0.50819556550101697</v>
      </c>
      <c r="P27">
        <v>0.56643003766815003</v>
      </c>
      <c r="Q27">
        <v>0.56729766086454603</v>
      </c>
      <c r="R27">
        <v>0.57339826403508498</v>
      </c>
      <c r="S27">
        <v>0.67238018933798105</v>
      </c>
      <c r="T27">
        <v>0.77813601905219199</v>
      </c>
      <c r="U27">
        <v>0.90800746832969204</v>
      </c>
      <c r="V27">
        <v>0.858267163106883</v>
      </c>
      <c r="W27">
        <v>0.56468757030872596</v>
      </c>
      <c r="X27">
        <v>0.97302716757284502</v>
      </c>
      <c r="Y27">
        <v>0.88069125395839798</v>
      </c>
      <c r="Z27">
        <v>0.98662144102159299</v>
      </c>
      <c r="AA27">
        <v>0.73277259226748204</v>
      </c>
      <c r="AB27">
        <v>0.94135242570501199</v>
      </c>
      <c r="AC27">
        <v>0.50104990351503298</v>
      </c>
      <c r="AD27">
        <v>0.99878107520563597</v>
      </c>
      <c r="AE27">
        <v>0.993842049366497</v>
      </c>
      <c r="AF27">
        <v>1.00207786729076</v>
      </c>
      <c r="AG27">
        <v>0.91462509297073202</v>
      </c>
      <c r="AH27">
        <v>0.99641588029540595</v>
      </c>
      <c r="AI27">
        <v>1</v>
      </c>
      <c r="AJ27">
        <v>0.99999679516615303</v>
      </c>
      <c r="AK27">
        <v>1</v>
      </c>
      <c r="AL27">
        <v>0.73377004768573895</v>
      </c>
      <c r="AM27">
        <v>0.99998523572735398</v>
      </c>
    </row>
  </sheetData>
  <printOptions horizontalCentered="1" verticalCentered="1"/>
  <pageMargins left="0.5" right="0.5" top="0.4" bottom="0.6" header="0.25" footer="0.25"/>
  <pageSetup scale="70" orientation="landscape" r:id="rId1"/>
  <headerFooter alignWithMargins="0">
    <oddHeader>&amp;C&amp;"Arial,Bold"&amp;24Periodic Table of the Elements</oddHeader>
    <oddFooter>&amp;CCopyright © 2007-2018 Jeff Bigler &lt;MrBigler&amp;1 &amp;10@&amp;1 &amp;10MrBigler.com&gt; or &lt;Jeff&amp;1 &amp;10@&amp;1 &amp;10JeffBigler.org&gt;
Licenced under a Creative Commons Attribution-NonCommercial-ShareAlike 4.0 International (CC BY-NC-SA 4.0) License.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Periodic Table</vt:lpstr>
    </vt:vector>
  </TitlesOfParts>
  <Company>Université de Lorraine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Rousseau</dc:creator>
  <cp:lastModifiedBy>Francois Rousseau</cp:lastModifiedBy>
  <dcterms:created xsi:type="dcterms:W3CDTF">2025-09-16T07:47:01Z</dcterms:created>
  <dcterms:modified xsi:type="dcterms:W3CDTF">2025-11-09T20:29:11Z</dcterms:modified>
</cp:coreProperties>
</file>