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rousseau6\Nextcloud\documents\Materials selection\Thèse et articles\article resources policy\"/>
    </mc:Choice>
  </mc:AlternateContent>
  <xr:revisionPtr revIDLastSave="0" documentId="13_ncr:1_{9119887D-0ECF-4842-B63B-147C6EABF23B}" xr6:coauthVersionLast="36" xr6:coauthVersionMax="36" xr10:uidLastSave="{00000000-0000-0000-0000-000000000000}"/>
  <bookViews>
    <workbookView xWindow="0" yWindow="0" windowWidth="23040" windowHeight="8940" xr2:uid="{46B5D5AD-799A-4EB8-8476-6789D59EE875}"/>
  </bookViews>
  <sheets>
    <sheet name="Summary graph" sheetId="1" r:id="rId1"/>
    <sheet name="Metals by country" sheetId="2" r:id="rId2"/>
  </sheets>
  <definedNames>
    <definedName name="_xlnm._FilterDatabase" localSheetId="1" hidden="1">'Metals by country'!$A$4:$AP$141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1" i="2" l="1"/>
  <c r="AK143" i="2" s="1"/>
  <c r="AG141" i="2"/>
  <c r="AG143" i="2" s="1"/>
  <c r="AO20" i="2"/>
  <c r="AO7" i="2"/>
  <c r="AO8" i="2"/>
  <c r="AO9" i="2"/>
  <c r="AO12" i="2"/>
  <c r="AO141" i="2"/>
  <c r="AO143" i="2" s="1"/>
  <c r="AM20" i="2"/>
  <c r="AM7" i="2"/>
  <c r="AM6" i="2"/>
  <c r="AM9" i="2"/>
  <c r="AM12" i="2"/>
  <c r="AJ15" i="2"/>
  <c r="AJ9" i="2"/>
  <c r="AJ8" i="2"/>
  <c r="AT141" i="2"/>
  <c r="AT143" i="2" s="1"/>
  <c r="AT139" i="2"/>
  <c r="AS141" i="2"/>
  <c r="AS143" i="2" s="1"/>
  <c r="AK139" i="2"/>
  <c r="AL139" i="2"/>
  <c r="AM139" i="2"/>
  <c r="AN139" i="2"/>
  <c r="AO139" i="2"/>
  <c r="AP139" i="2"/>
  <c r="AQ139" i="2"/>
  <c r="AR139" i="2"/>
  <c r="AS139" i="2"/>
  <c r="AJ139" i="2"/>
  <c r="H141" i="2"/>
  <c r="I141" i="2"/>
  <c r="I143" i="2" s="1"/>
  <c r="J141" i="2"/>
  <c r="K141" i="2"/>
  <c r="K143" i="2" s="1"/>
  <c r="L141" i="2"/>
  <c r="L143" i="2" s="1"/>
  <c r="M141" i="2"/>
  <c r="N141" i="2"/>
  <c r="O141" i="2"/>
  <c r="O143" i="2" s="1"/>
  <c r="P141" i="2"/>
  <c r="P143" i="2" s="1"/>
  <c r="Q141" i="2"/>
  <c r="Q143" i="2" s="1"/>
  <c r="R141" i="2"/>
  <c r="R143" i="2" s="1"/>
  <c r="S141" i="2"/>
  <c r="S143" i="2" s="1"/>
  <c r="T141" i="2"/>
  <c r="T143" i="2" s="1"/>
  <c r="U141" i="2"/>
  <c r="U143" i="2" s="1"/>
  <c r="V141" i="2"/>
  <c r="V143" i="2" s="1"/>
  <c r="W141" i="2"/>
  <c r="W143" i="2" s="1"/>
  <c r="X141" i="2"/>
  <c r="Y141" i="2"/>
  <c r="Y143" i="2" s="1"/>
  <c r="Z141" i="2"/>
  <c r="Z143" i="2" s="1"/>
  <c r="AA141" i="2"/>
  <c r="AA143" i="2" s="1"/>
  <c r="AB141" i="2"/>
  <c r="AC141" i="2"/>
  <c r="AC143" i="2" s="1"/>
  <c r="AD141" i="2"/>
  <c r="AD143" i="2" s="1"/>
  <c r="AE141" i="2"/>
  <c r="AE143" i="2" s="1"/>
  <c r="AF141" i="2"/>
  <c r="AF143" i="2" s="1"/>
  <c r="AH141" i="2"/>
  <c r="AH143" i="2" s="1"/>
  <c r="AI141" i="2"/>
  <c r="AI143" i="2" s="1"/>
  <c r="AJ141" i="2"/>
  <c r="AJ143" i="2" s="1"/>
  <c r="AL141" i="2"/>
  <c r="AL143" i="2" s="1"/>
  <c r="AM141" i="2"/>
  <c r="AM143" i="2" s="1"/>
  <c r="AN141" i="2"/>
  <c r="AP141" i="2"/>
  <c r="AP143" i="2" s="1"/>
  <c r="AQ141" i="2"/>
  <c r="AQ143" i="2" s="1"/>
  <c r="AR141" i="2"/>
  <c r="AR143" i="2" s="1"/>
  <c r="G141" i="2"/>
  <c r="G143" i="2" s="1"/>
  <c r="F141" i="2"/>
  <c r="F143" i="2" s="1"/>
  <c r="E141" i="2"/>
  <c r="E143" i="2" s="1"/>
  <c r="D141" i="2"/>
  <c r="D143" i="2" s="1"/>
  <c r="H143" i="2"/>
  <c r="J143" i="2"/>
  <c r="M143" i="2"/>
  <c r="N143" i="2"/>
  <c r="X143" i="2"/>
  <c r="AB143" i="2"/>
  <c r="AN143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D139" i="2"/>
  <c r="C6" i="1" l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B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rousseau6</author>
  </authors>
  <commentList>
    <comment ref="AD3" authorId="0" shapeId="0" xr:uid="{13663EB1-FD8C-46C3-B796-5B2D88D8BD08}">
      <text>
        <r>
          <rPr>
            <b/>
            <sz val="9"/>
            <color indexed="81"/>
            <rFont val="Tahoma"/>
            <family val="2"/>
          </rPr>
          <t>rousseau6:</t>
        </r>
        <r>
          <rPr>
            <sz val="9"/>
            <color indexed="81"/>
            <rFont val="Tahoma"/>
            <family val="2"/>
          </rPr>
          <t xml:space="preserve">
No data, except from % import in USGS, used nonetheless for calculations</t>
        </r>
      </text>
    </comment>
  </commentList>
</comments>
</file>

<file path=xl/sharedStrings.xml><?xml version="1.0" encoding="utf-8"?>
<sst xmlns="http://schemas.openxmlformats.org/spreadsheetml/2006/main" count="277" uniqueCount="235">
  <si>
    <t>Sc</t>
  </si>
  <si>
    <t>Ga</t>
  </si>
  <si>
    <t>Zr</t>
  </si>
  <si>
    <t>Ru</t>
  </si>
  <si>
    <t>Rh</t>
  </si>
  <si>
    <t>Cd</t>
  </si>
  <si>
    <t>In</t>
  </si>
  <si>
    <t>Te</t>
  </si>
  <si>
    <t>Hf</t>
  </si>
  <si>
    <t>Re</t>
  </si>
  <si>
    <t>Ir</t>
  </si>
  <si>
    <t>Pd</t>
  </si>
  <si>
    <t>As</t>
  </si>
  <si>
    <t>Bi</t>
  </si>
  <si>
    <t>Co</t>
  </si>
  <si>
    <t>Sb</t>
  </si>
  <si>
    <t>V</t>
  </si>
  <si>
    <t>Ag</t>
  </si>
  <si>
    <t>Ge</t>
  </si>
  <si>
    <t>Mo</t>
  </si>
  <si>
    <t>Y</t>
  </si>
  <si>
    <t>Ta</t>
  </si>
  <si>
    <t>Pt</t>
  </si>
  <si>
    <t>Au</t>
  </si>
  <si>
    <t>Zn</t>
  </si>
  <si>
    <t>Hg</t>
  </si>
  <si>
    <t>Pb</t>
  </si>
  <si>
    <t>Cu</t>
  </si>
  <si>
    <t>W</t>
  </si>
  <si>
    <t>Mn</t>
  </si>
  <si>
    <t>Sn</t>
  </si>
  <si>
    <t>Cr</t>
  </si>
  <si>
    <t>Ni</t>
  </si>
  <si>
    <t>Nb</t>
  </si>
  <si>
    <t>Mg</t>
  </si>
  <si>
    <t>Al</t>
  </si>
  <si>
    <t>Si</t>
  </si>
  <si>
    <t>Ti</t>
  </si>
  <si>
    <t>Fe</t>
  </si>
  <si>
    <t>Annual Production</t>
  </si>
  <si>
    <t>Price USD per ton</t>
  </si>
  <si>
    <t>Source</t>
  </si>
  <si>
    <t>https://resourceworld.com/world-metal-prices-h1-2024/ , USGS 2023</t>
  </si>
  <si>
    <t>https://pubs.usgs.gov/periodicals/mcs2024/mcs2024.pdf (USGS 2024, year 2023), https://www.mineralinfo.fr/fr</t>
  </si>
  <si>
    <t>study on the critical raw materials for the EU 2023 (annex 2)</t>
  </si>
  <si>
    <t>eta(lambda*)</t>
  </si>
  <si>
    <t>R_c</t>
  </si>
  <si>
    <t>Element</t>
  </si>
  <si>
    <t>Economic Importance (EI)</t>
  </si>
  <si>
    <t>HHI</t>
  </si>
  <si>
    <t>FR</t>
  </si>
  <si>
    <t>Se</t>
  </si>
  <si>
    <t>Be</t>
  </si>
  <si>
    <t>Li</t>
  </si>
  <si>
    <t>SQKM</t>
  </si>
  <si>
    <t>Count_of_mines</t>
  </si>
  <si>
    <t>Pb (Mines)</t>
  </si>
  <si>
    <t>Cu (Mines)</t>
  </si>
  <si>
    <t>Cu (Refinery)</t>
  </si>
  <si>
    <t>Cd (Refinery)</t>
  </si>
  <si>
    <t>Zn (Mines)</t>
  </si>
  <si>
    <t>Te (Refinery)</t>
  </si>
  <si>
    <t>Se (Refinery)</t>
  </si>
  <si>
    <t>Au (Mines)</t>
  </si>
  <si>
    <t>Ni (Mines)</t>
  </si>
  <si>
    <t>Ti (Mines)</t>
  </si>
  <si>
    <t>Fe (Mines)</t>
  </si>
  <si>
    <t>In (Refinery)</t>
  </si>
  <si>
    <t>Cr (Mines)</t>
  </si>
  <si>
    <t>Ag (Mines)</t>
  </si>
  <si>
    <t>Mo (Mines)</t>
  </si>
  <si>
    <t>Zr (Mines)</t>
  </si>
  <si>
    <t>Sn (Mines)</t>
  </si>
  <si>
    <t>W (Mines)</t>
  </si>
  <si>
    <t>Mn (Mines)</t>
  </si>
  <si>
    <t>Al (Smelter)</t>
  </si>
  <si>
    <t>Ta (Mines)</t>
  </si>
  <si>
    <t>Si (Mines Ferrosilicon)</t>
  </si>
  <si>
    <t>Si (Mines metal)</t>
  </si>
  <si>
    <t>Hf (= 1/50 Zr, source: BRGM)</t>
  </si>
  <si>
    <t>Pd (Mines)</t>
  </si>
  <si>
    <t>Sb (Mines)</t>
  </si>
  <si>
    <t>Ge (no data)</t>
  </si>
  <si>
    <t>Be (Mines)</t>
  </si>
  <si>
    <t>Bi (Refinery)</t>
  </si>
  <si>
    <t>As (Production AsO3)</t>
  </si>
  <si>
    <t>Li (Mines)</t>
  </si>
  <si>
    <t>Pt (Mines)</t>
  </si>
  <si>
    <t>Source: USGS</t>
  </si>
  <si>
    <t>https://pubs.usgs.gov/periodicals/mcs2024/mcs2024.pdf (USGS 2024, year 2023)</t>
  </si>
  <si>
    <t>COUNTRY</t>
  </si>
  <si>
    <t>Australia</t>
  </si>
  <si>
    <t>Canada</t>
  </si>
  <si>
    <t>United States</t>
  </si>
  <si>
    <t>China</t>
  </si>
  <si>
    <t>Russia</t>
  </si>
  <si>
    <t>Mexico</t>
  </si>
  <si>
    <t>Peru</t>
  </si>
  <si>
    <t>South Africa</t>
  </si>
  <si>
    <t>Brazil</t>
  </si>
  <si>
    <t>Chile</t>
  </si>
  <si>
    <t>Kazakhstan</t>
  </si>
  <si>
    <t>Philippines</t>
  </si>
  <si>
    <t>Argentina</t>
  </si>
  <si>
    <t>Indonesia</t>
  </si>
  <si>
    <t>Sweden</t>
  </si>
  <si>
    <t>Zimbabwe</t>
  </si>
  <si>
    <t>Democratic Republic of the Congo</t>
  </si>
  <si>
    <t>Finland</t>
  </si>
  <si>
    <t>Namibia</t>
  </si>
  <si>
    <t>Turkey</t>
  </si>
  <si>
    <t>Ghana</t>
  </si>
  <si>
    <t>India</t>
  </si>
  <si>
    <t>Mongolia</t>
  </si>
  <si>
    <t>Ecuador</t>
  </si>
  <si>
    <t>Burkina Faso</t>
  </si>
  <si>
    <t>Tanzania</t>
  </si>
  <si>
    <t>Papua New Guinea</t>
  </si>
  <si>
    <t>Bolivia</t>
  </si>
  <si>
    <t>Colombia</t>
  </si>
  <si>
    <t>Kyrgyzstan</t>
  </si>
  <si>
    <t>Spain</t>
  </si>
  <si>
    <t>Mali</t>
  </si>
  <si>
    <t>Zambia</t>
  </si>
  <si>
    <t>Guinea</t>
  </si>
  <si>
    <t>Saudi Arabia</t>
  </si>
  <si>
    <t>Venezuela</t>
  </si>
  <si>
    <t>Uzbekistan</t>
  </si>
  <si>
    <t>Botswana</t>
  </si>
  <si>
    <t>Cote d'Ivoire</t>
  </si>
  <si>
    <t>Cuba</t>
  </si>
  <si>
    <t>Guyana</t>
  </si>
  <si>
    <t>Portugal</t>
  </si>
  <si>
    <t>Vietnam</t>
  </si>
  <si>
    <t>Iran</t>
  </si>
  <si>
    <t>Serbia</t>
  </si>
  <si>
    <t>Armenia</t>
  </si>
  <si>
    <t>Ireland</t>
  </si>
  <si>
    <t>Nicaragua</t>
  </si>
  <si>
    <t>Algeria</t>
  </si>
  <si>
    <t>Bulgaria</t>
  </si>
  <si>
    <t>Greenland</t>
  </si>
  <si>
    <t>Malaysia</t>
  </si>
  <si>
    <t>Niger</t>
  </si>
  <si>
    <t>Nigeria</t>
  </si>
  <si>
    <t>Ukraine</t>
  </si>
  <si>
    <t>Dominican Republic</t>
  </si>
  <si>
    <t>Tajikistan</t>
  </si>
  <si>
    <t>Cameroon</t>
  </si>
  <si>
    <t>Fiji</t>
  </si>
  <si>
    <t>Honduras</t>
  </si>
  <si>
    <t>Mauritania</t>
  </si>
  <si>
    <t>New Zealand</t>
  </si>
  <si>
    <t>Egypt</t>
  </si>
  <si>
    <t>Guatemala</t>
  </si>
  <si>
    <t>Morocco</t>
  </si>
  <si>
    <t>Norway</t>
  </si>
  <si>
    <t>Panama</t>
  </si>
  <si>
    <t>Romania</t>
  </si>
  <si>
    <t>Slovakia</t>
  </si>
  <si>
    <t>Albania</t>
  </si>
  <si>
    <t>Greece</t>
  </si>
  <si>
    <t>Kenya</t>
  </si>
  <si>
    <t>Laos</t>
  </si>
  <si>
    <t>Liberia</t>
  </si>
  <si>
    <t>Senegal</t>
  </si>
  <si>
    <t>Sierra Leone</t>
  </si>
  <si>
    <t>Gabon</t>
  </si>
  <si>
    <t>Mozambique</t>
  </si>
  <si>
    <t>Myanmar</t>
  </si>
  <si>
    <t>New Caledonia</t>
  </si>
  <si>
    <t>Poland</t>
  </si>
  <si>
    <t>United Kingdom</t>
  </si>
  <si>
    <t>Azerbaijan</t>
  </si>
  <si>
    <t>Czech Republic</t>
  </si>
  <si>
    <t>Madagascar</t>
  </si>
  <si>
    <t>Malawi</t>
  </si>
  <si>
    <t>Republic of Congo</t>
  </si>
  <si>
    <t>Costa Rica</t>
  </si>
  <si>
    <t>El Salvador</t>
  </si>
  <si>
    <t>Eritrea</t>
  </si>
  <si>
    <t>Ethiopia</t>
  </si>
  <si>
    <t>Georgia</t>
  </si>
  <si>
    <t>Pakistan</t>
  </si>
  <si>
    <t>South Korea</t>
  </si>
  <si>
    <t>Sudan</t>
  </si>
  <si>
    <t>Suriname</t>
  </si>
  <si>
    <t>Thailand</t>
  </si>
  <si>
    <t>Germany</t>
  </si>
  <si>
    <t>Haiti</t>
  </si>
  <si>
    <t>Italy</t>
  </si>
  <si>
    <t>Afghanistan</t>
  </si>
  <si>
    <t>Austria</t>
  </si>
  <si>
    <t>French Guiana</t>
  </si>
  <si>
    <t>Hungary</t>
  </si>
  <si>
    <t>Macedonia</t>
  </si>
  <si>
    <t>Oman</t>
  </si>
  <si>
    <t>Solomon Islands</t>
  </si>
  <si>
    <t>Burundi</t>
  </si>
  <si>
    <t>France</t>
  </si>
  <si>
    <t>Jamaica</t>
  </si>
  <si>
    <t>North Korea</t>
  </si>
  <si>
    <t>Uruguay</t>
  </si>
  <si>
    <t>Yemen</t>
  </si>
  <si>
    <t>Angola</t>
  </si>
  <si>
    <t>Bosnia and Herzegovina</t>
  </si>
  <si>
    <t>Cambodia</t>
  </si>
  <si>
    <t>Central African Republic</t>
  </si>
  <si>
    <t>Chad</t>
  </si>
  <si>
    <t>Paraguay</t>
  </si>
  <si>
    <t>Sri Lanka</t>
  </si>
  <si>
    <t>Togo</t>
  </si>
  <si>
    <t>Tunisia</t>
  </si>
  <si>
    <t>Uganda</t>
  </si>
  <si>
    <t>Aruba</t>
  </si>
  <si>
    <t>Benin</t>
  </si>
  <si>
    <t>Cyprus</t>
  </si>
  <si>
    <t>Japan</t>
  </si>
  <si>
    <t>Montenegro</t>
  </si>
  <si>
    <t>Nepal</t>
  </si>
  <si>
    <t>Puerto Rico</t>
  </si>
  <si>
    <t>Rwanda</t>
  </si>
  <si>
    <t>Swaziland</t>
  </si>
  <si>
    <t>Other countries</t>
  </si>
  <si>
    <t>Total</t>
  </si>
  <si>
    <t>Data in thousand metric tons (kT) / year</t>
  </si>
  <si>
    <t>Smelter production</t>
  </si>
  <si>
    <t>Israel</t>
  </si>
  <si>
    <t>https://www.mineralinfo.fr/fr/substance/scandium-sc</t>
  </si>
  <si>
    <t>Only reserves available</t>
  </si>
  <si>
    <t>https://www.mineralinfo.fr/sites/default/files/2022-12/fichecriticiteruthenium-publique201015_0.pdf</t>
  </si>
  <si>
    <t>https://www.mineralinfo.fr/fr/substance/rhodium-rh</t>
  </si>
  <si>
    <t>https://www.mineralinfo.fr/fr/substance/iridium-ir</t>
  </si>
  <si>
    <t>https://lelementarium.fr/element-fiche/yttrium/ (source provided: USGS)</t>
  </si>
  <si>
    <t>Calculation from production data https://pubs.usgs.gov/periodicals/mcs2024/mcs2024.pdf (USGS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</si>
</sst>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1" fontId="0" fillId="0" borderId="0" xfId="0" applyNumberFormat="1"/>
    <xf numFmtId="9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90725477978371"/>
          <c:y val="3.3625727123252853E-2"/>
          <c:w val="0.85789120536451535"/>
          <c:h val="0.83651782849531253"/>
        </c:manualLayout>
      </c:layout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218390007035931E-2"/>
                  <c:y val="-1.4010557783529607E-17"/>
                </c:manualLayout>
              </c:layout>
              <c:tx>
                <c:rich>
                  <a:bodyPr/>
                  <a:lstStyle/>
                  <a:p>
                    <a:fld id="{993373D3-EE5A-48C6-A691-95991023DC9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1E10-4519-A8BC-49863EA5E6E0}"/>
                </c:ext>
              </c:extLst>
            </c:dLbl>
            <c:dLbl>
              <c:idx val="1"/>
              <c:layout>
                <c:manualLayout>
                  <c:x val="-4.1858235022280608E-2"/>
                  <c:y val="4.2796379975049086E-2"/>
                </c:manualLayout>
              </c:layout>
              <c:tx>
                <c:rich>
                  <a:bodyPr/>
                  <a:lstStyle/>
                  <a:p>
                    <a:fld id="{46B25174-C771-4811-915D-38CA7AF34F33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E10-4519-A8BC-49863EA5E6E0}"/>
                </c:ext>
              </c:extLst>
            </c:dLbl>
            <c:dLbl>
              <c:idx val="2"/>
              <c:layout>
                <c:manualLayout>
                  <c:x val="-6.8295015036352311E-2"/>
                  <c:y val="-2.7511958555388724E-2"/>
                </c:manualLayout>
              </c:layout>
              <c:tx>
                <c:rich>
                  <a:bodyPr/>
                  <a:lstStyle/>
                  <a:p>
                    <a:fld id="{74D657F1-8BB2-48BC-80E0-DBAE9D23A101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1E10-4519-A8BC-49863EA5E6E0}"/>
                </c:ext>
              </c:extLst>
            </c:dLbl>
            <c:dLbl>
              <c:idx val="3"/>
              <c:layout>
                <c:manualLayout>
                  <c:x val="-4.4061300023453098E-2"/>
                  <c:y val="4.5853264258981161E-2"/>
                </c:manualLayout>
              </c:layout>
              <c:tx>
                <c:rich>
                  <a:bodyPr/>
                  <a:lstStyle/>
                  <a:p>
                    <a:fld id="{103CB2E2-8A27-422F-B429-635BEE9B6193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1E10-4519-A8BC-49863EA5E6E0}"/>
                </c:ext>
              </c:extLst>
            </c:dLbl>
            <c:dLbl>
              <c:idx val="4"/>
              <c:layout>
                <c:manualLayout>
                  <c:x val="-9.2528730049251509E-2"/>
                  <c:y val="3.3625727123252853E-2"/>
                </c:manualLayout>
              </c:layout>
              <c:tx>
                <c:rich>
                  <a:bodyPr/>
                  <a:lstStyle/>
                  <a:p>
                    <a:fld id="{57722979-1A60-4B42-AB15-7E851CA7BF6B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1E10-4519-A8BC-49863EA5E6E0}"/>
                </c:ext>
              </c:extLst>
            </c:dLbl>
            <c:dLbl>
              <c:idx val="5"/>
              <c:layout>
                <c:manualLayout>
                  <c:x val="-7.049808003752496E-2"/>
                  <c:y val="3.3625727123252853E-2"/>
                </c:manualLayout>
              </c:layout>
              <c:tx>
                <c:rich>
                  <a:bodyPr/>
                  <a:lstStyle/>
                  <a:p>
                    <a:fld id="{328EBAFB-A634-43F4-A35E-CC19A38A6FB5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E10-4519-A8BC-49863EA5E6E0}"/>
                </c:ext>
              </c:extLst>
            </c:dLbl>
            <c:dLbl>
              <c:idx val="6"/>
              <c:layout>
                <c:manualLayout>
                  <c:x val="-1.1015325005863275E-2"/>
                  <c:y val="1.8341305703592464E-2"/>
                </c:manualLayout>
              </c:layout>
              <c:tx>
                <c:rich>
                  <a:bodyPr/>
                  <a:lstStyle/>
                  <a:p>
                    <a:fld id="{782C8A43-7D7B-4D85-A96D-17A52150F34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1E10-4519-A8BC-49863EA5E6E0}"/>
                </c:ext>
              </c:extLst>
            </c:dLbl>
            <c:dLbl>
              <c:idx val="7"/>
              <c:layout>
                <c:manualLayout>
                  <c:x val="-5.0670495026971067E-2"/>
                  <c:y val="4.2796379975049058E-2"/>
                </c:manualLayout>
              </c:layout>
              <c:tx>
                <c:rich>
                  <a:bodyPr/>
                  <a:lstStyle/>
                  <a:p>
                    <a:fld id="{C076321B-D079-4D50-8E0B-58B5ED93E0C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1E10-4519-A8BC-49863EA5E6E0}"/>
                </c:ext>
              </c:extLst>
            </c:dLbl>
            <c:dLbl>
              <c:idx val="8"/>
              <c:layout>
                <c:manualLayout>
                  <c:x val="-6.8295015036352352E-2"/>
                  <c:y val="2.7511958555388696E-2"/>
                </c:manualLayout>
              </c:layout>
              <c:tx>
                <c:rich>
                  <a:bodyPr/>
                  <a:lstStyle/>
                  <a:p>
                    <a:fld id="{1B9F26BF-9561-490F-8993-26DC99508306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1E10-4519-A8BC-49863EA5E6E0}"/>
                </c:ext>
              </c:extLst>
            </c:dLbl>
            <c:dLbl>
              <c:idx val="9"/>
              <c:layout>
                <c:manualLayout>
                  <c:x val="-7.2701145038697623E-2"/>
                  <c:y val="-3.6836659119131115E-3"/>
                </c:manualLayout>
              </c:layout>
              <c:tx>
                <c:rich>
                  <a:bodyPr/>
                  <a:lstStyle/>
                  <a:p>
                    <a:fld id="{FA243144-7803-4807-9344-3E7D45A6BEC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E10-4519-A8BC-49863EA5E6E0}"/>
                </c:ext>
              </c:extLst>
            </c:dLbl>
            <c:dLbl>
              <c:idx val="10"/>
              <c:layout>
                <c:manualLayout>
                  <c:x val="-3.3045975017589824E-2"/>
                  <c:y val="3.9739495691117011E-2"/>
                </c:manualLayout>
              </c:layout>
              <c:tx>
                <c:rich>
                  <a:bodyPr/>
                  <a:lstStyle/>
                  <a:p>
                    <a:fld id="{0738A3C9-7F51-4BA6-9961-05CD5DD8030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1E10-4519-A8BC-49863EA5E6E0}"/>
                </c:ext>
              </c:extLst>
            </c:dLbl>
            <c:dLbl>
              <c:idx val="11"/>
              <c:layout>
                <c:manualLayout>
                  <c:x val="-9.032566504807886E-2"/>
                  <c:y val="2.4455074271456621E-2"/>
                </c:manualLayout>
              </c:layout>
              <c:tx>
                <c:rich>
                  <a:bodyPr/>
                  <a:lstStyle/>
                  <a:p>
                    <a:fld id="{BEA76000-2527-4B78-B8E3-D015AF91CC29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E10-4519-A8BC-49863EA5E6E0}"/>
                </c:ext>
              </c:extLst>
            </c:dLbl>
            <c:dLbl>
              <c:idx val="12"/>
              <c:layout>
                <c:manualLayout>
                  <c:x val="-5.067049502697115E-2"/>
                  <c:y val="3.6682611407184901E-2"/>
                </c:manualLayout>
              </c:layout>
              <c:tx>
                <c:rich>
                  <a:bodyPr/>
                  <a:lstStyle/>
                  <a:p>
                    <a:fld id="{13DADD2A-2395-40A9-B9EA-195C60E479A1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1E10-4519-A8BC-49863EA5E6E0}"/>
                </c:ext>
              </c:extLst>
            </c:dLbl>
            <c:dLbl>
              <c:idx val="13"/>
              <c:layout>
                <c:manualLayout>
                  <c:x val="-1.3218390007035849E-2"/>
                  <c:y val="0"/>
                </c:manualLayout>
              </c:layout>
              <c:tx>
                <c:rich>
                  <a:bodyPr/>
                  <a:lstStyle/>
                  <a:p>
                    <a:fld id="{A107B2B9-1A26-4C19-8BF9-03431C622B1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1E10-4519-A8BC-49863EA5E6E0}"/>
                </c:ext>
              </c:extLst>
            </c:dLbl>
            <c:dLbl>
              <c:idx val="14"/>
              <c:layout>
                <c:manualLayout>
                  <c:x val="-3.0842910016417251E-2"/>
                  <c:y val="4.8910148542913215E-2"/>
                </c:manualLayout>
              </c:layout>
              <c:tx>
                <c:rich>
                  <a:bodyPr/>
                  <a:lstStyle/>
                  <a:p>
                    <a:fld id="{AA705331-1282-4A01-8CE3-5D5B38540F3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1E10-4519-A8BC-49863EA5E6E0}"/>
                </c:ext>
              </c:extLst>
            </c:dLbl>
            <c:dLbl>
              <c:idx val="15"/>
              <c:layout>
                <c:manualLayout>
                  <c:x val="-2.8639845015244515E-2"/>
                  <c:y val="-3.9739495691117011E-2"/>
                </c:manualLayout>
              </c:layout>
              <c:tx>
                <c:rich>
                  <a:bodyPr/>
                  <a:lstStyle/>
                  <a:p>
                    <a:fld id="{4AFFC0FD-3A50-4C84-B72A-A807CAB818A5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1E10-4519-A8BC-49863EA5E6E0}"/>
                </c:ext>
              </c:extLst>
            </c:dLbl>
            <c:dLbl>
              <c:idx val="16"/>
              <c:layout>
                <c:manualLayout>
                  <c:x val="-3.7452105019935136E-2"/>
                  <c:y val="4.2796379975049086E-2"/>
                </c:manualLayout>
              </c:layout>
              <c:tx>
                <c:rich>
                  <a:bodyPr/>
                  <a:lstStyle/>
                  <a:p>
                    <a:fld id="{DE9D17ED-C0F0-49D8-BC27-A8908A02537B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1E10-4519-A8BC-49863EA5E6E0}"/>
                </c:ext>
              </c:extLst>
            </c:dLbl>
            <c:dLbl>
              <c:idx val="17"/>
              <c:layout>
                <c:manualLayout>
                  <c:x val="-7.7107275041042922E-2"/>
                  <c:y val="-9.1706528517962321E-3"/>
                </c:manualLayout>
              </c:layout>
              <c:tx>
                <c:rich>
                  <a:bodyPr/>
                  <a:lstStyle/>
                  <a:p>
                    <a:fld id="{02ED8E59-A8F9-4195-AF18-FCAB8069BC54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1E10-4519-A8BC-49863EA5E6E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0B29334-21DB-4BEB-B6B8-DFDAAD7B612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1E10-4519-A8BC-49863EA5E6E0}"/>
                </c:ext>
              </c:extLst>
            </c:dLbl>
            <c:dLbl>
              <c:idx val="19"/>
              <c:layout>
                <c:manualLayout>
                  <c:x val="-2.6436780014071862E-2"/>
                  <c:y val="-4.2796379975049141E-2"/>
                </c:manualLayout>
              </c:layout>
              <c:tx>
                <c:rich>
                  <a:bodyPr/>
                  <a:lstStyle/>
                  <a:p>
                    <a:fld id="{8B865DD8-9469-485F-8079-8F0EEAC6EE5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1E10-4519-A8BC-49863EA5E6E0}"/>
                </c:ext>
              </c:extLst>
            </c:dLbl>
            <c:dLbl>
              <c:idx val="20"/>
              <c:layout>
                <c:manualLayout>
                  <c:x val="-3.3045975017589824E-2"/>
                  <c:y val="3.9739495691117011E-2"/>
                </c:manualLayout>
              </c:layout>
              <c:tx>
                <c:rich>
                  <a:bodyPr/>
                  <a:lstStyle/>
                  <a:p>
                    <a:fld id="{AC679E9F-1B63-495C-A0B7-70879F7CEB4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E10-4519-A8BC-49863EA5E6E0}"/>
                </c:ext>
              </c:extLst>
            </c:dLbl>
            <c:dLbl>
              <c:idx val="21"/>
              <c:layout>
                <c:manualLayout>
                  <c:x val="-8.8122600046906599E-3"/>
                  <c:y val="-2.1398189987524598E-2"/>
                </c:manualLayout>
              </c:layout>
              <c:tx>
                <c:rich>
                  <a:bodyPr/>
                  <a:lstStyle/>
                  <a:p>
                    <a:fld id="{86972564-264A-4B12-AB26-FDF1EF567161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1E10-4519-A8BC-49863EA5E6E0}"/>
                </c:ext>
              </c:extLst>
            </c:dLbl>
            <c:dLbl>
              <c:idx val="22"/>
              <c:layout>
                <c:manualLayout>
                  <c:x val="-1.5421455008208667E-2"/>
                  <c:y val="1.8341305703592409E-2"/>
                </c:manualLayout>
              </c:layout>
              <c:tx>
                <c:rich>
                  <a:bodyPr/>
                  <a:lstStyle/>
                  <a:p>
                    <a:fld id="{DFC33FC6-D549-46FA-A55D-008B811EF724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1E10-4519-A8BC-49863EA5E6E0}"/>
                </c:ext>
              </c:extLst>
            </c:dLbl>
            <c:dLbl>
              <c:idx val="23"/>
              <c:layout>
                <c:manualLayout>
                  <c:x val="-7.7107275041042922E-2"/>
                  <c:y val="-6.1137685678642108E-3"/>
                </c:manualLayout>
              </c:layout>
              <c:tx>
                <c:rich>
                  <a:bodyPr/>
                  <a:lstStyle/>
                  <a:p>
                    <a:fld id="{06E47375-461E-4BA1-ADF2-0091B4D60E95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1E10-4519-A8BC-49863EA5E6E0}"/>
                </c:ext>
              </c:extLst>
            </c:dLbl>
            <c:dLbl>
              <c:idx val="24"/>
              <c:layout>
                <c:manualLayout>
                  <c:x val="-7.9310340042215585E-2"/>
                  <c:y val="-2.4455074271456677E-2"/>
                </c:manualLayout>
              </c:layout>
              <c:tx>
                <c:rich>
                  <a:bodyPr/>
                  <a:lstStyle/>
                  <a:p>
                    <a:fld id="{9D58F50B-6945-4E09-91C4-1D4B69500F0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1E10-4519-A8BC-49863EA5E6E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</c:ext>
                <c:ext xmlns:c16="http://schemas.microsoft.com/office/drawing/2014/chart" uri="{C3380CC4-5D6E-409C-BE32-E72D297353CC}">
                  <c16:uniqueId val="{0000002B-1E10-4519-A8BC-49863EA5E6E0}"/>
                </c:ext>
              </c:extLst>
            </c:dLbl>
            <c:dLbl>
              <c:idx val="26"/>
              <c:layout>
                <c:manualLayout>
                  <c:x val="-5.7279690030489029E-2"/>
                  <c:y val="-5.1967032826845318E-2"/>
                </c:manualLayout>
              </c:layout>
              <c:tx>
                <c:rich>
                  <a:bodyPr/>
                  <a:lstStyle/>
                  <a:p>
                    <a:fld id="{74755772-B9FB-48FF-8A7C-01EFA973219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1E10-4519-A8BC-49863EA5E6E0}"/>
                </c:ext>
              </c:extLst>
            </c:dLbl>
            <c:dLbl>
              <c:idx val="27"/>
              <c:layout>
                <c:manualLayout>
                  <c:x val="-5.9482755031661685E-2"/>
                  <c:y val="-3.3625727123252964E-2"/>
                </c:manualLayout>
              </c:layout>
              <c:tx>
                <c:rich>
                  <a:bodyPr/>
                  <a:lstStyle/>
                  <a:p>
                    <a:fld id="{74DAD5B5-4877-44C7-A66D-7C36CDC2C5E6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1E10-4519-A8BC-49863EA5E6E0}"/>
                </c:ext>
              </c:extLst>
            </c:dLbl>
            <c:dLbl>
              <c:idx val="28"/>
              <c:layout>
                <c:manualLayout>
                  <c:x val="-4.1858235022280525E-2"/>
                  <c:y val="5.5023917110777337E-2"/>
                </c:manualLayout>
              </c:layout>
              <c:tx>
                <c:rich>
                  <a:bodyPr/>
                  <a:lstStyle/>
                  <a:p>
                    <a:fld id="{025FCE0B-1DEA-44FB-A9B1-F2EA1F9DF1C5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1E10-4519-A8BC-49863EA5E6E0}"/>
                </c:ext>
              </c:extLst>
            </c:dLbl>
            <c:dLbl>
              <c:idx val="29"/>
              <c:layout>
                <c:manualLayout>
                  <c:x val="-3.7452105019935136E-2"/>
                  <c:y val="5.5023917110777282E-2"/>
                </c:manualLayout>
              </c:layout>
              <c:tx>
                <c:rich>
                  <a:bodyPr/>
                  <a:lstStyle/>
                  <a:p>
                    <a:fld id="{50809E6F-9A74-4A6F-8F63-37616B5EEF16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1E10-4519-A8BC-49863EA5E6E0}"/>
                </c:ext>
              </c:extLst>
            </c:dLbl>
            <c:dLbl>
              <c:idx val="30"/>
              <c:layout>
                <c:manualLayout>
                  <c:x val="-7.7107275041042908E-2"/>
                  <c:y val="3.9739495691117011E-2"/>
                </c:manualLayout>
              </c:layout>
              <c:tx>
                <c:rich>
                  <a:bodyPr/>
                  <a:lstStyle/>
                  <a:p>
                    <a:fld id="{6C20C478-D028-4B5E-BD99-E8ACF454F6D4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1E10-4519-A8BC-49863EA5E6E0}"/>
                </c:ext>
              </c:extLst>
            </c:dLbl>
            <c:dLbl>
              <c:idx val="31"/>
              <c:layout>
                <c:manualLayout>
                  <c:x val="-2.2030650011726511E-2"/>
                  <c:y val="3.6682611407184929E-2"/>
                </c:manualLayout>
              </c:layout>
              <c:tx>
                <c:rich>
                  <a:bodyPr/>
                  <a:lstStyle/>
                  <a:p>
                    <a:fld id="{0B3A5660-1179-427D-9E50-E544B8615FD8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1E10-4519-A8BC-49863EA5E6E0}"/>
                </c:ext>
              </c:extLst>
            </c:dLbl>
            <c:dLbl>
              <c:idx val="32"/>
              <c:layout>
                <c:manualLayout>
                  <c:x val="-1.5421455008208585E-2"/>
                  <c:y val="6.113768567864099E-3"/>
                </c:manualLayout>
              </c:layout>
              <c:tx>
                <c:rich>
                  <a:bodyPr/>
                  <a:lstStyle/>
                  <a:p>
                    <a:fld id="{57665281-0DDC-47DD-888A-2C2CAEEBBB4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1E10-4519-A8BC-49863EA5E6E0}"/>
                </c:ext>
              </c:extLst>
            </c:dLbl>
            <c:dLbl>
              <c:idx val="33"/>
              <c:layout>
                <c:manualLayout>
                  <c:x val="-3.524904001876264E-2"/>
                  <c:y val="5.5023917110777393E-2"/>
                </c:manualLayout>
              </c:layout>
              <c:tx>
                <c:rich>
                  <a:bodyPr/>
                  <a:lstStyle/>
                  <a:p>
                    <a:fld id="{2FE19282-9B8F-4D64-921D-8D881DB4EC21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E10-4519-A8BC-49863EA5E6E0}"/>
                </c:ext>
              </c:extLst>
            </c:dLbl>
            <c:dLbl>
              <c:idx val="34"/>
              <c:layout>
                <c:manualLayout>
                  <c:x val="-9.2528730049251592E-2"/>
                  <c:y val="-2.1398189987524543E-2"/>
                </c:manualLayout>
              </c:layout>
              <c:tx>
                <c:rich>
                  <a:bodyPr/>
                  <a:lstStyle/>
                  <a:p>
                    <a:fld id="{E11C4CE8-EF60-4A35-85EE-234C82E66A7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E10-4519-A8BC-49863EA5E6E0}"/>
                </c:ext>
              </c:extLst>
            </c:dLbl>
            <c:dLbl>
              <c:idx val="35"/>
              <c:layout>
                <c:manualLayout>
                  <c:x val="-6.3888885034006998E-2"/>
                  <c:y val="3.6682611407184929E-2"/>
                </c:manualLayout>
              </c:layout>
              <c:tx>
                <c:rich>
                  <a:bodyPr/>
                  <a:lstStyle/>
                  <a:p>
                    <a:fld id="{EF223680-4F0C-4F90-8891-1F77348F3867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1E10-4519-A8BC-49863EA5E6E0}"/>
                </c:ext>
              </c:extLst>
            </c:dLbl>
            <c:dLbl>
              <c:idx val="36"/>
              <c:layout>
                <c:manualLayout>
                  <c:x val="-7.4904210039870273E-2"/>
                  <c:y val="2.1398189987524543E-2"/>
                </c:manualLayout>
              </c:layout>
              <c:tx>
                <c:rich>
                  <a:bodyPr/>
                  <a:lstStyle/>
                  <a:p>
                    <a:fld id="{6418F6A3-253A-4F30-A47C-F3478ED4CF3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E10-4519-A8BC-49863EA5E6E0}"/>
                </c:ext>
              </c:extLst>
            </c:dLbl>
            <c:dLbl>
              <c:idx val="37"/>
              <c:layout>
                <c:manualLayout>
                  <c:x val="-6.8295015036352311E-2"/>
                  <c:y val="-2.7511958555388696E-2"/>
                </c:manualLayout>
              </c:layout>
              <c:tx>
                <c:rich>
                  <a:bodyPr/>
                  <a:lstStyle/>
                  <a:p>
                    <a:fld id="{EABD5B5E-972B-4012-8EF7-E07EE6766CB7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1E10-4519-A8BC-49863EA5E6E0}"/>
                </c:ext>
              </c:extLst>
            </c:dLbl>
            <c:dLbl>
              <c:idx val="38"/>
              <c:layout>
                <c:manualLayout>
                  <c:x val="-8.5919535045733589E-2"/>
                  <c:y val="4.2796379975049086E-2"/>
                </c:manualLayout>
              </c:layout>
              <c:tx>
                <c:rich>
                  <a:bodyPr/>
                  <a:lstStyle/>
                  <a:p>
                    <a:fld id="{D5BEBE24-8E9D-42F5-8892-12D9D743982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1E10-4519-A8BC-49863EA5E6E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'Summary graph'!$B$7:$AN$7</c:f>
              <c:numCache>
                <c:formatCode>General</c:formatCode>
                <c:ptCount val="39"/>
                <c:pt idx="0">
                  <c:v>0.54500000000000004</c:v>
                </c:pt>
                <c:pt idx="1">
                  <c:v>0.96799999999999997</c:v>
                </c:pt>
                <c:pt idx="2">
                  <c:v>0.188</c:v>
                </c:pt>
                <c:pt idx="3">
                  <c:v>0.83199999999999996</c:v>
                </c:pt>
                <c:pt idx="4">
                  <c:v>0.67400000000000004</c:v>
                </c:pt>
                <c:pt idx="5">
                  <c:v>0.10199999999999999</c:v>
                </c:pt>
                <c:pt idx="6">
                  <c:v>0.48099999999999998</c:v>
                </c:pt>
                <c:pt idx="7">
                  <c:v>0.47799999999999998</c:v>
                </c:pt>
                <c:pt idx="8">
                  <c:v>0.188</c:v>
                </c:pt>
                <c:pt idx="9">
                  <c:v>0.33400000000000002</c:v>
                </c:pt>
                <c:pt idx="10">
                  <c:v>0.77200000000000002</c:v>
                </c:pt>
                <c:pt idx="11">
                  <c:v>0.33</c:v>
                </c:pt>
                <c:pt idx="12">
                  <c:v>0.378</c:v>
                </c:pt>
                <c:pt idx="13">
                  <c:v>0.67900000000000005</c:v>
                </c:pt>
                <c:pt idx="14">
                  <c:v>0.55800000000000005</c:v>
                </c:pt>
                <c:pt idx="15">
                  <c:v>0.307</c:v>
                </c:pt>
                <c:pt idx="16">
                  <c:v>0.48099999999999998</c:v>
                </c:pt>
                <c:pt idx="17">
                  <c:v>0.124</c:v>
                </c:pt>
                <c:pt idx="18">
                  <c:v>0.65</c:v>
                </c:pt>
                <c:pt idx="19">
                  <c:v>0.247</c:v>
                </c:pt>
                <c:pt idx="20">
                  <c:v>0.97399999999999998</c:v>
                </c:pt>
                <c:pt idx="21">
                  <c:v>0.25</c:v>
                </c:pt>
                <c:pt idx="22">
                  <c:v>0.501</c:v>
                </c:pt>
                <c:pt idx="23">
                  <c:v>0.106</c:v>
                </c:pt>
                <c:pt idx="24">
                  <c:v>0.16700000000000001</c:v>
                </c:pt>
                <c:pt idx="26">
                  <c:v>0.223</c:v>
                </c:pt>
                <c:pt idx="27">
                  <c:v>0.23400000000000001</c:v>
                </c:pt>
                <c:pt idx="28">
                  <c:v>0.65900000000000003</c:v>
                </c:pt>
                <c:pt idx="29">
                  <c:v>0.214</c:v>
                </c:pt>
                <c:pt idx="30">
                  <c:v>0.14199999999999999</c:v>
                </c:pt>
                <c:pt idx="31">
                  <c:v>0.25900000000000001</c:v>
                </c:pt>
                <c:pt idx="32">
                  <c:v>0.29199999999999998</c:v>
                </c:pt>
                <c:pt idx="33">
                  <c:v>0.81699999999999995</c:v>
                </c:pt>
                <c:pt idx="34">
                  <c:v>0.78400000000000003</c:v>
                </c:pt>
                <c:pt idx="35">
                  <c:v>0.38700000000000001</c:v>
                </c:pt>
                <c:pt idx="36">
                  <c:v>0.64300000000000002</c:v>
                </c:pt>
                <c:pt idx="37">
                  <c:v>0.17399999999999999</c:v>
                </c:pt>
                <c:pt idx="38">
                  <c:v>0.20399999999999999</c:v>
                </c:pt>
              </c:numCache>
            </c:numRef>
          </c:xVal>
          <c:yVal>
            <c:numRef>
              <c:f>'Summary graph'!$B$6:$AN$6</c:f>
              <c:numCache>
                <c:formatCode>General</c:formatCode>
                <c:ptCount val="39"/>
                <c:pt idx="0">
                  <c:v>2.356009124789384</c:v>
                </c:pt>
                <c:pt idx="1">
                  <c:v>2.3560102347412157</c:v>
                </c:pt>
                <c:pt idx="2">
                  <c:v>1.8651261377962709</c:v>
                </c:pt>
                <c:pt idx="3">
                  <c:v>2.3390856423043038</c:v>
                </c:pt>
                <c:pt idx="4">
                  <c:v>2.229832603171876</c:v>
                </c:pt>
                <c:pt idx="5">
                  <c:v>2.354415968573528</c:v>
                </c:pt>
                <c:pt idx="6">
                  <c:v>2.3530430918823138</c:v>
                </c:pt>
                <c:pt idx="7">
                  <c:v>2.3557991066750992</c:v>
                </c:pt>
                <c:pt idx="8">
                  <c:v>2.3489344644808163</c:v>
                </c:pt>
                <c:pt idx="9">
                  <c:v>2.3549050404238066</c:v>
                </c:pt>
                <c:pt idx="10">
                  <c:v>2.3220893146392974</c:v>
                </c:pt>
                <c:pt idx="11">
                  <c:v>2.1944496118385302</c:v>
                </c:pt>
                <c:pt idx="12">
                  <c:v>2.1419184182219118</c:v>
                </c:pt>
                <c:pt idx="13">
                  <c:v>2.0836023018297336</c:v>
                </c:pt>
                <c:pt idx="14">
                  <c:v>1.9677464108017662</c:v>
                </c:pt>
                <c:pt idx="15">
                  <c:v>1.7654430971153092</c:v>
                </c:pt>
                <c:pt idx="16">
                  <c:v>1.7627430341877799</c:v>
                </c:pt>
                <c:pt idx="17">
                  <c:v>1.7439885376751196</c:v>
                </c:pt>
                <c:pt idx="18">
                  <c:v>1.4872538124369641</c:v>
                </c:pt>
                <c:pt idx="19">
                  <c:v>1.285122363591457</c:v>
                </c:pt>
                <c:pt idx="20">
                  <c:v>1.101312527571531</c:v>
                </c:pt>
                <c:pt idx="21">
                  <c:v>1.1651383659839105</c:v>
                </c:pt>
                <c:pt idx="22">
                  <c:v>1.7708907590320786</c:v>
                </c:pt>
                <c:pt idx="23">
                  <c:v>1.0277205337384732</c:v>
                </c:pt>
                <c:pt idx="24">
                  <c:v>1.1354717053284578</c:v>
                </c:pt>
                <c:pt idx="25">
                  <c:v>1.0135599718617054</c:v>
                </c:pt>
                <c:pt idx="26">
                  <c:v>1.3646798618731262</c:v>
                </c:pt>
                <c:pt idx="27">
                  <c:v>1.0623014002976248</c:v>
                </c:pt>
                <c:pt idx="28">
                  <c:v>1.9958091858409051</c:v>
                </c:pt>
                <c:pt idx="29">
                  <c:v>1.0012204123852797</c:v>
                </c:pt>
                <c:pt idx="30">
                  <c:v>1.006196105948052</c:v>
                </c:pt>
                <c:pt idx="31">
                  <c:v>0.99792644128907093</c:v>
                </c:pt>
                <c:pt idx="32">
                  <c:v>1.0933441556386425</c:v>
                </c:pt>
                <c:pt idx="33">
                  <c:v>1.0035970118255566</c:v>
                </c:pt>
                <c:pt idx="34">
                  <c:v>1</c:v>
                </c:pt>
                <c:pt idx="35">
                  <c:v>1.0000032048441179</c:v>
                </c:pt>
                <c:pt idx="36">
                  <c:v>1</c:v>
                </c:pt>
                <c:pt idx="37">
                  <c:v>1.3628247748104905</c:v>
                </c:pt>
                <c:pt idx="38">
                  <c:v>1.000014764490633</c:v>
                </c:pt>
              </c:numCache>
            </c:numRef>
          </c:yVal>
          <c:bubbleSize>
            <c:numRef>
              <c:f>'Summary graph'!$B$4:$AN$4</c:f>
              <c:numCache>
                <c:formatCode>General</c:formatCode>
                <c:ptCount val="39"/>
                <c:pt idx="0">
                  <c:v>3.7</c:v>
                </c:pt>
                <c:pt idx="1">
                  <c:v>3.7</c:v>
                </c:pt>
                <c:pt idx="2">
                  <c:v>3.5</c:v>
                </c:pt>
                <c:pt idx="3">
                  <c:v>5.5</c:v>
                </c:pt>
                <c:pt idx="4">
                  <c:v>8.6</c:v>
                </c:pt>
                <c:pt idx="5">
                  <c:v>4.0999999999999996</c:v>
                </c:pt>
                <c:pt idx="6">
                  <c:v>2.6</c:v>
                </c:pt>
                <c:pt idx="7">
                  <c:v>3.8</c:v>
                </c:pt>
                <c:pt idx="8">
                  <c:v>4.3</c:v>
                </c:pt>
                <c:pt idx="9">
                  <c:v>2.2999999999999998</c:v>
                </c:pt>
                <c:pt idx="10">
                  <c:v>6.4</c:v>
                </c:pt>
                <c:pt idx="11">
                  <c:v>8.1</c:v>
                </c:pt>
                <c:pt idx="12">
                  <c:v>2.9</c:v>
                </c:pt>
                <c:pt idx="13">
                  <c:v>5.7</c:v>
                </c:pt>
                <c:pt idx="14">
                  <c:v>6.8</c:v>
                </c:pt>
                <c:pt idx="15">
                  <c:v>5.4</c:v>
                </c:pt>
                <c:pt idx="16">
                  <c:v>3.9</c:v>
                </c:pt>
                <c:pt idx="17">
                  <c:v>4.5999999999999996</c:v>
                </c:pt>
                <c:pt idx="18">
                  <c:v>3.6</c:v>
                </c:pt>
                <c:pt idx="19">
                  <c:v>6.7</c:v>
                </c:pt>
                <c:pt idx="20">
                  <c:v>2.9</c:v>
                </c:pt>
                <c:pt idx="21">
                  <c:v>4.8</c:v>
                </c:pt>
                <c:pt idx="22">
                  <c:v>6.9</c:v>
                </c:pt>
                <c:pt idx="23">
                  <c:v>2.4</c:v>
                </c:pt>
                <c:pt idx="24">
                  <c:v>4.8</c:v>
                </c:pt>
                <c:pt idx="26">
                  <c:v>4.2</c:v>
                </c:pt>
                <c:pt idx="27">
                  <c:v>4</c:v>
                </c:pt>
                <c:pt idx="28">
                  <c:v>8.6999999999999993</c:v>
                </c:pt>
                <c:pt idx="29">
                  <c:v>6.9</c:v>
                </c:pt>
                <c:pt idx="30">
                  <c:v>4.5</c:v>
                </c:pt>
                <c:pt idx="31">
                  <c:v>7.2</c:v>
                </c:pt>
                <c:pt idx="32">
                  <c:v>5.7</c:v>
                </c:pt>
                <c:pt idx="33">
                  <c:v>6.5</c:v>
                </c:pt>
                <c:pt idx="34">
                  <c:v>7.4</c:v>
                </c:pt>
                <c:pt idx="35">
                  <c:v>5.8</c:v>
                </c:pt>
                <c:pt idx="36">
                  <c:v>4.9000000000000004</c:v>
                </c:pt>
                <c:pt idx="37">
                  <c:v>5.4</c:v>
                </c:pt>
                <c:pt idx="38">
                  <c:v>7.2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'Summary graph'!$B$1:$AN$1</c15:f>
                <c15:dlblRangeCache>
                  <c:ptCount val="39"/>
                  <c:pt idx="0">
                    <c:v>Sc</c:v>
                  </c:pt>
                  <c:pt idx="1">
                    <c:v>Ga</c:v>
                  </c:pt>
                  <c:pt idx="2">
                    <c:v>Zr</c:v>
                  </c:pt>
                  <c:pt idx="3">
                    <c:v>Ru</c:v>
                  </c:pt>
                  <c:pt idx="4">
                    <c:v>Rh</c:v>
                  </c:pt>
                  <c:pt idx="5">
                    <c:v>Cd</c:v>
                  </c:pt>
                  <c:pt idx="6">
                    <c:v>In</c:v>
                  </c:pt>
                  <c:pt idx="7">
                    <c:v>Te</c:v>
                  </c:pt>
                  <c:pt idx="8">
                    <c:v>Hf</c:v>
                  </c:pt>
                  <c:pt idx="9">
                    <c:v>Re</c:v>
                  </c:pt>
                  <c:pt idx="10">
                    <c:v>Ir</c:v>
                  </c:pt>
                  <c:pt idx="11">
                    <c:v>Pd</c:v>
                  </c:pt>
                  <c:pt idx="12">
                    <c:v>As</c:v>
                  </c:pt>
                  <c:pt idx="13">
                    <c:v>Bi</c:v>
                  </c:pt>
                  <c:pt idx="14">
                    <c:v>Co</c:v>
                  </c:pt>
                  <c:pt idx="15">
                    <c:v>Sb</c:v>
                  </c:pt>
                  <c:pt idx="16">
                    <c:v>V</c:v>
                  </c:pt>
                  <c:pt idx="17">
                    <c:v>Ag</c:v>
                  </c:pt>
                  <c:pt idx="18">
                    <c:v>Ge</c:v>
                  </c:pt>
                  <c:pt idx="19">
                    <c:v>Mo</c:v>
                  </c:pt>
                  <c:pt idx="20">
                    <c:v>Y</c:v>
                  </c:pt>
                  <c:pt idx="21">
                    <c:v>Ta</c:v>
                  </c:pt>
                  <c:pt idx="22">
                    <c:v>Pt</c:v>
                  </c:pt>
                  <c:pt idx="23">
                    <c:v>Au</c:v>
                  </c:pt>
                  <c:pt idx="24">
                    <c:v>Zn</c:v>
                  </c:pt>
                  <c:pt idx="25">
                    <c:v>Hg</c:v>
                  </c:pt>
                  <c:pt idx="26">
                    <c:v>Pb</c:v>
                  </c:pt>
                  <c:pt idx="27">
                    <c:v>Cu</c:v>
                  </c:pt>
                  <c:pt idx="28">
                    <c:v>W</c:v>
                  </c:pt>
                  <c:pt idx="29">
                    <c:v>Mn</c:v>
                  </c:pt>
                  <c:pt idx="30">
                    <c:v>Sn</c:v>
                  </c:pt>
                  <c:pt idx="31">
                    <c:v>Cr</c:v>
                  </c:pt>
                  <c:pt idx="32">
                    <c:v>Ni</c:v>
                  </c:pt>
                  <c:pt idx="33">
                    <c:v>Nb</c:v>
                  </c:pt>
                  <c:pt idx="34">
                    <c:v>Mg</c:v>
                  </c:pt>
                  <c:pt idx="35">
                    <c:v>Al</c:v>
                  </c:pt>
                  <c:pt idx="36">
                    <c:v>Si</c:v>
                  </c:pt>
                  <c:pt idx="37">
                    <c:v>Ti</c:v>
                  </c:pt>
                  <c:pt idx="38">
                    <c:v>Fe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1E10-4519-A8BC-49863EA5E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25"/>
        <c:showNegBubbles val="0"/>
        <c:sizeRepresents val="w"/>
        <c:axId val="347136640"/>
        <c:axId val="347136968"/>
      </c:bubbleChart>
      <c:valAx>
        <c:axId val="347136640"/>
        <c:scaling>
          <c:orientation val="minMax"/>
          <c:max val="1.100000000000000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/>
                  <a:t>HHI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347136968"/>
        <c:crosses val="autoZero"/>
        <c:crossBetween val="midCat"/>
      </c:valAx>
      <c:valAx>
        <c:axId val="347136968"/>
        <c:scaling>
          <c:orientation val="minMax"/>
          <c:max val="2.5"/>
          <c:min val="0.7000000000000000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/>
                  <a:t>Rc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347136640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344556</xdr:colOff>
      <xdr:row>8</xdr:row>
      <xdr:rowOff>178903</xdr:rowOff>
    </xdr:from>
    <xdr:to>
      <xdr:col>7</xdr:col>
      <xdr:colOff>543339</xdr:colOff>
      <xdr:row>33</xdr:row>
      <xdr:rowOff>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E3A9177D-D508-45DC-9193-399BD9325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resourceworld.com/world-metal-prices-h1-2024/%20,%20USGS%20202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lelementarium.fr/element-fiche/yttrium/%20(source%20provided:%20USGS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18A6-E07C-4B49-A621-41D602630990}">
  <dimension ref="A1:AO7"/>
  <sheetViews>
    <sheetView tabSelected="1" zoomScale="115" zoomScaleNormal="115" workbookViewId="0">
      <selection activeCell="I12" sqref="I12"/>
    </sheetView>
  </sheetViews>
  <sheetFormatPr baseColWidth="10" defaultRowHeight="14.4" x14ac:dyDescent="0.3"/>
  <sheetData>
    <row r="1" spans="1:41" x14ac:dyDescent="0.3">
      <c r="A1" t="s">
        <v>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41</v>
      </c>
    </row>
    <row r="2" spans="1:41" x14ac:dyDescent="0.3">
      <c r="A2" t="s">
        <v>39</v>
      </c>
      <c r="B2">
        <v>15</v>
      </c>
      <c r="C2">
        <v>610</v>
      </c>
      <c r="D2">
        <v>1450000</v>
      </c>
      <c r="E2">
        <v>40</v>
      </c>
      <c r="F2">
        <v>23.4</v>
      </c>
      <c r="G2">
        <v>21113</v>
      </c>
      <c r="H2">
        <v>990</v>
      </c>
      <c r="I2">
        <v>640</v>
      </c>
      <c r="J2">
        <v>75</v>
      </c>
      <c r="K2">
        <v>46.5</v>
      </c>
      <c r="L2">
        <v>8.25</v>
      </c>
      <c r="M2">
        <v>210.4</v>
      </c>
      <c r="N2">
        <v>60000</v>
      </c>
      <c r="O2">
        <v>20000</v>
      </c>
      <c r="P2">
        <v>230000</v>
      </c>
      <c r="Q2">
        <v>83000</v>
      </c>
      <c r="R2">
        <v>79000</v>
      </c>
      <c r="S2">
        <v>26500</v>
      </c>
      <c r="T2">
        <v>155</v>
      </c>
      <c r="U2">
        <v>260000</v>
      </c>
      <c r="V2">
        <v>12000</v>
      </c>
      <c r="W2">
        <v>2400</v>
      </c>
      <c r="X2">
        <v>189.8</v>
      </c>
      <c r="Y2">
        <v>3644</v>
      </c>
      <c r="Z2">
        <v>12000000</v>
      </c>
      <c r="AA2">
        <v>1200</v>
      </c>
      <c r="AB2">
        <v>4500000</v>
      </c>
      <c r="AC2">
        <v>27000000</v>
      </c>
      <c r="AD2">
        <v>78400</v>
      </c>
      <c r="AE2">
        <v>20000000</v>
      </c>
      <c r="AF2">
        <v>295000</v>
      </c>
      <c r="AG2">
        <v>41000000</v>
      </c>
      <c r="AH2">
        <v>3600000</v>
      </c>
      <c r="AI2">
        <v>83000</v>
      </c>
      <c r="AJ2">
        <v>940000</v>
      </c>
      <c r="AK2">
        <v>89800000</v>
      </c>
      <c r="AL2">
        <v>3800000</v>
      </c>
      <c r="AM2">
        <v>180000</v>
      </c>
      <c r="AN2">
        <v>1575900000</v>
      </c>
      <c r="AO2" t="s">
        <v>43</v>
      </c>
    </row>
    <row r="3" spans="1:41" x14ac:dyDescent="0.3">
      <c r="A3" t="s">
        <v>40</v>
      </c>
      <c r="B3">
        <v>98000</v>
      </c>
      <c r="C3">
        <v>450000</v>
      </c>
      <c r="D3">
        <v>28000</v>
      </c>
      <c r="E3">
        <v>15110970</v>
      </c>
      <c r="F3">
        <v>247562700</v>
      </c>
      <c r="G3">
        <v>4100</v>
      </c>
      <c r="H3">
        <v>240000</v>
      </c>
      <c r="I3">
        <v>78000</v>
      </c>
      <c r="J3">
        <v>6200000</v>
      </c>
      <c r="K3">
        <v>1070000</v>
      </c>
      <c r="L3">
        <v>147894600</v>
      </c>
      <c r="M3">
        <v>48226500</v>
      </c>
      <c r="N3">
        <v>4408</v>
      </c>
      <c r="O3">
        <v>9036.4</v>
      </c>
      <c r="P3">
        <v>35264</v>
      </c>
      <c r="Q3">
        <v>19000</v>
      </c>
      <c r="R3">
        <v>20387</v>
      </c>
      <c r="S3">
        <v>752333.39999999991</v>
      </c>
      <c r="T3">
        <v>1400000</v>
      </c>
      <c r="U3">
        <v>55600</v>
      </c>
      <c r="V3">
        <v>33000</v>
      </c>
      <c r="W3">
        <v>231988.95027624309</v>
      </c>
      <c r="X3">
        <v>32151000</v>
      </c>
      <c r="Y3">
        <v>61086900</v>
      </c>
      <c r="Z3">
        <v>2644.7999999999997</v>
      </c>
      <c r="AA3">
        <v>6000</v>
      </c>
      <c r="AB3">
        <v>1960</v>
      </c>
      <c r="AC3">
        <v>8595.6</v>
      </c>
      <c r="AD3">
        <v>260</v>
      </c>
      <c r="AE3">
        <v>5</v>
      </c>
      <c r="AF3">
        <v>26448</v>
      </c>
      <c r="AG3">
        <v>12122</v>
      </c>
      <c r="AH3">
        <v>22000</v>
      </c>
      <c r="AI3">
        <v>25000</v>
      </c>
      <c r="AJ3">
        <v>3200</v>
      </c>
      <c r="AK3">
        <v>2865.2</v>
      </c>
      <c r="AL3">
        <v>4187.5999999999995</v>
      </c>
      <c r="AM3">
        <v>1490</v>
      </c>
      <c r="AN3">
        <v>170</v>
      </c>
      <c r="AO3" s="1" t="s">
        <v>42</v>
      </c>
    </row>
    <row r="4" spans="1:41" x14ac:dyDescent="0.3">
      <c r="A4" t="s">
        <v>48</v>
      </c>
      <c r="B4">
        <v>3.7</v>
      </c>
      <c r="C4">
        <v>3.7</v>
      </c>
      <c r="D4">
        <v>3.5</v>
      </c>
      <c r="E4">
        <v>5.5</v>
      </c>
      <c r="F4">
        <v>8.6</v>
      </c>
      <c r="G4">
        <v>4.0999999999999996</v>
      </c>
      <c r="H4">
        <v>2.6</v>
      </c>
      <c r="I4">
        <v>3.8</v>
      </c>
      <c r="J4">
        <v>4.3</v>
      </c>
      <c r="K4">
        <v>2.2999999999999998</v>
      </c>
      <c r="L4">
        <v>6.4</v>
      </c>
      <c r="M4">
        <v>8.1</v>
      </c>
      <c r="N4">
        <v>2.9</v>
      </c>
      <c r="O4">
        <v>5.7</v>
      </c>
      <c r="P4">
        <v>6.8</v>
      </c>
      <c r="Q4">
        <v>5.4</v>
      </c>
      <c r="R4">
        <v>3.9</v>
      </c>
      <c r="S4">
        <v>4.5999999999999996</v>
      </c>
      <c r="T4">
        <v>3.6</v>
      </c>
      <c r="U4">
        <v>6.7</v>
      </c>
      <c r="V4">
        <v>2.9</v>
      </c>
      <c r="W4">
        <v>4.8</v>
      </c>
      <c r="X4">
        <v>6.9</v>
      </c>
      <c r="Y4">
        <v>2.4</v>
      </c>
      <c r="Z4">
        <v>4.8</v>
      </c>
      <c r="AB4">
        <v>4.2</v>
      </c>
      <c r="AC4">
        <v>4</v>
      </c>
      <c r="AD4">
        <v>8.6999999999999993</v>
      </c>
      <c r="AE4">
        <v>6.9</v>
      </c>
      <c r="AF4">
        <v>4.5</v>
      </c>
      <c r="AG4">
        <v>7.2</v>
      </c>
      <c r="AH4">
        <v>5.7</v>
      </c>
      <c r="AI4">
        <v>6.5</v>
      </c>
      <c r="AJ4">
        <v>7.4</v>
      </c>
      <c r="AK4">
        <v>5.8</v>
      </c>
      <c r="AL4">
        <v>4.9000000000000004</v>
      </c>
      <c r="AM4">
        <v>5.4</v>
      </c>
      <c r="AN4">
        <v>7.2</v>
      </c>
      <c r="AO4" t="s">
        <v>44</v>
      </c>
    </row>
    <row r="5" spans="1:41" x14ac:dyDescent="0.3">
      <c r="A5" t="s">
        <v>45</v>
      </c>
      <c r="B5">
        <v>0.424446573435659</v>
      </c>
      <c r="C5">
        <v>0.42444637347249897</v>
      </c>
      <c r="D5">
        <v>0.53615676695279402</v>
      </c>
      <c r="E5">
        <v>0.42751748029835701</v>
      </c>
      <c r="F5">
        <v>0.44846415761323399</v>
      </c>
      <c r="G5">
        <v>0.42473378253795602</v>
      </c>
      <c r="H5">
        <v>0.42498159232606803</v>
      </c>
      <c r="I5">
        <v>0.424484412599752</v>
      </c>
      <c r="J5">
        <v>0.42572494683074502</v>
      </c>
      <c r="K5">
        <v>0.42464557289326299</v>
      </c>
      <c r="L5">
        <v>0.43064665673953001</v>
      </c>
      <c r="M5">
        <v>0.45569512947813401</v>
      </c>
      <c r="N5">
        <v>0.46687118962735202</v>
      </c>
      <c r="O5">
        <v>0.47993803765807003</v>
      </c>
      <c r="P5">
        <v>0.50819556550101697</v>
      </c>
      <c r="Q5">
        <v>0.56643003766815003</v>
      </c>
      <c r="R5">
        <v>0.56729766086454603</v>
      </c>
      <c r="S5">
        <v>0.57339826403508498</v>
      </c>
      <c r="T5">
        <v>0.67238018933798105</v>
      </c>
      <c r="U5">
        <v>0.77813601905219199</v>
      </c>
      <c r="V5">
        <v>0.90800746832969204</v>
      </c>
      <c r="W5">
        <v>0.858267163106883</v>
      </c>
      <c r="X5">
        <v>0.56468757030872596</v>
      </c>
      <c r="Y5">
        <v>0.97302716757284602</v>
      </c>
      <c r="Z5">
        <v>0.88069125395839798</v>
      </c>
      <c r="AA5">
        <v>0.98662144102159199</v>
      </c>
      <c r="AB5">
        <v>0.73277259226748204</v>
      </c>
      <c r="AC5">
        <v>0.94135242570501199</v>
      </c>
      <c r="AD5">
        <v>0.50104990351503198</v>
      </c>
      <c r="AE5">
        <v>0.99878107520563597</v>
      </c>
      <c r="AF5">
        <v>0.99384204936649601</v>
      </c>
      <c r="AG5">
        <v>1.00207786729075</v>
      </c>
      <c r="AH5">
        <v>0.91462509297073202</v>
      </c>
      <c r="AI5">
        <v>0.99641588029540495</v>
      </c>
      <c r="AJ5">
        <v>1</v>
      </c>
      <c r="AK5">
        <v>0.99999679516615303</v>
      </c>
      <c r="AL5">
        <v>1</v>
      </c>
      <c r="AM5">
        <v>0.73377004768573895</v>
      </c>
      <c r="AN5">
        <v>0.99998523572735398</v>
      </c>
      <c r="AO5" t="s">
        <v>50</v>
      </c>
    </row>
    <row r="6" spans="1:41" x14ac:dyDescent="0.3">
      <c r="A6" t="s">
        <v>46</v>
      </c>
      <c r="B6">
        <f>1/B5</f>
        <v>2.356009124789384</v>
      </c>
      <c r="C6">
        <f t="shared" ref="C6:AN6" si="0">1/C5</f>
        <v>2.3560102347412157</v>
      </c>
      <c r="D6">
        <f t="shared" si="0"/>
        <v>1.8651261377962709</v>
      </c>
      <c r="E6">
        <f t="shared" si="0"/>
        <v>2.3390856423043038</v>
      </c>
      <c r="F6">
        <f t="shared" si="0"/>
        <v>2.229832603171876</v>
      </c>
      <c r="G6">
        <f t="shared" si="0"/>
        <v>2.354415968573528</v>
      </c>
      <c r="H6">
        <f t="shared" si="0"/>
        <v>2.3530430918823138</v>
      </c>
      <c r="I6">
        <f t="shared" si="0"/>
        <v>2.3557991066750992</v>
      </c>
      <c r="J6">
        <f t="shared" si="0"/>
        <v>2.3489344644808163</v>
      </c>
      <c r="K6">
        <f t="shared" si="0"/>
        <v>2.3549050404238066</v>
      </c>
      <c r="L6">
        <f t="shared" si="0"/>
        <v>2.3220893146392974</v>
      </c>
      <c r="M6">
        <f t="shared" si="0"/>
        <v>2.1944496118385302</v>
      </c>
      <c r="N6">
        <f t="shared" si="0"/>
        <v>2.1419184182219118</v>
      </c>
      <c r="O6">
        <f t="shared" si="0"/>
        <v>2.0836023018297336</v>
      </c>
      <c r="P6">
        <f t="shared" si="0"/>
        <v>1.9677464108017662</v>
      </c>
      <c r="Q6">
        <f t="shared" si="0"/>
        <v>1.7654430971153092</v>
      </c>
      <c r="R6">
        <f t="shared" si="0"/>
        <v>1.7627430341877799</v>
      </c>
      <c r="S6">
        <f t="shared" si="0"/>
        <v>1.7439885376751196</v>
      </c>
      <c r="T6">
        <f t="shared" si="0"/>
        <v>1.4872538124369641</v>
      </c>
      <c r="U6">
        <f t="shared" si="0"/>
        <v>1.285122363591457</v>
      </c>
      <c r="V6">
        <f t="shared" si="0"/>
        <v>1.101312527571531</v>
      </c>
      <c r="W6">
        <f t="shared" si="0"/>
        <v>1.1651383659839105</v>
      </c>
      <c r="X6">
        <f t="shared" si="0"/>
        <v>1.7708907590320786</v>
      </c>
      <c r="Y6">
        <f t="shared" si="0"/>
        <v>1.0277205337384732</v>
      </c>
      <c r="Z6">
        <f t="shared" si="0"/>
        <v>1.1354717053284578</v>
      </c>
      <c r="AA6">
        <f t="shared" si="0"/>
        <v>1.0135599718617054</v>
      </c>
      <c r="AB6">
        <f t="shared" si="0"/>
        <v>1.3646798618731262</v>
      </c>
      <c r="AC6">
        <f t="shared" si="0"/>
        <v>1.0623014002976248</v>
      </c>
      <c r="AD6">
        <f t="shared" si="0"/>
        <v>1.9958091858409051</v>
      </c>
      <c r="AE6">
        <f t="shared" si="0"/>
        <v>1.0012204123852797</v>
      </c>
      <c r="AF6">
        <f t="shared" si="0"/>
        <v>1.006196105948052</v>
      </c>
      <c r="AG6">
        <f t="shared" si="0"/>
        <v>0.99792644128907093</v>
      </c>
      <c r="AH6">
        <f t="shared" si="0"/>
        <v>1.0933441556386425</v>
      </c>
      <c r="AI6">
        <f t="shared" si="0"/>
        <v>1.0035970118255566</v>
      </c>
      <c r="AJ6">
        <f t="shared" si="0"/>
        <v>1</v>
      </c>
      <c r="AK6">
        <f t="shared" si="0"/>
        <v>1.0000032048441179</v>
      </c>
      <c r="AL6">
        <f t="shared" si="0"/>
        <v>1</v>
      </c>
      <c r="AM6">
        <f t="shared" si="0"/>
        <v>1.3628247748104905</v>
      </c>
      <c r="AN6">
        <f t="shared" si="0"/>
        <v>1.000014764490633</v>
      </c>
      <c r="AO6" t="s">
        <v>50</v>
      </c>
    </row>
    <row r="7" spans="1:41" x14ac:dyDescent="0.3">
      <c r="A7" t="s">
        <v>49</v>
      </c>
      <c r="B7">
        <v>0.54500000000000004</v>
      </c>
      <c r="C7">
        <v>0.96799999999999997</v>
      </c>
      <c r="D7">
        <v>0.188</v>
      </c>
      <c r="E7">
        <v>0.83199999999999996</v>
      </c>
      <c r="F7">
        <v>0.67400000000000004</v>
      </c>
      <c r="G7">
        <v>0.10199999999999999</v>
      </c>
      <c r="H7">
        <v>0.48099999999999998</v>
      </c>
      <c r="I7">
        <v>0.47799999999999998</v>
      </c>
      <c r="J7">
        <v>0.188</v>
      </c>
      <c r="K7">
        <v>0.33400000000000002</v>
      </c>
      <c r="L7">
        <v>0.77200000000000002</v>
      </c>
      <c r="M7">
        <v>0.33</v>
      </c>
      <c r="N7">
        <v>0.378</v>
      </c>
      <c r="O7">
        <v>0.67900000000000005</v>
      </c>
      <c r="P7">
        <v>0.55800000000000005</v>
      </c>
      <c r="Q7">
        <v>0.307</v>
      </c>
      <c r="R7">
        <v>0.48099999999999998</v>
      </c>
      <c r="S7">
        <v>0.124</v>
      </c>
      <c r="T7">
        <v>0.65</v>
      </c>
      <c r="U7">
        <v>0.247</v>
      </c>
      <c r="V7">
        <v>0.97399999999999998</v>
      </c>
      <c r="W7">
        <v>0.25</v>
      </c>
      <c r="X7">
        <v>0.501</v>
      </c>
      <c r="Y7">
        <v>0.106</v>
      </c>
      <c r="Z7">
        <v>0.16700000000000001</v>
      </c>
      <c r="AB7">
        <v>0.223</v>
      </c>
      <c r="AC7">
        <v>0.23400000000000001</v>
      </c>
      <c r="AD7">
        <v>0.65900000000000003</v>
      </c>
      <c r="AE7">
        <v>0.214</v>
      </c>
      <c r="AF7">
        <v>0.14199999999999999</v>
      </c>
      <c r="AG7">
        <v>0.25900000000000001</v>
      </c>
      <c r="AH7">
        <v>0.29199999999999998</v>
      </c>
      <c r="AI7">
        <v>0.81699999999999995</v>
      </c>
      <c r="AJ7">
        <v>0.78400000000000003</v>
      </c>
      <c r="AK7">
        <v>0.38700000000000001</v>
      </c>
      <c r="AL7">
        <v>0.64300000000000002</v>
      </c>
      <c r="AM7">
        <v>0.17399999999999999</v>
      </c>
      <c r="AN7">
        <v>0.20399999999999999</v>
      </c>
      <c r="AO7" t="s">
        <v>234</v>
      </c>
    </row>
  </sheetData>
  <hyperlinks>
    <hyperlink ref="AO3" r:id="rId1" xr:uid="{2576046E-9D01-4FC3-AC75-DD16F2C739B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E95D-DBFB-4582-8DA2-514F39EC428D}">
  <dimension ref="A1:AT143"/>
  <sheetViews>
    <sheetView topLeftCell="A133" workbookViewId="0">
      <pane xSplit="1" topLeftCell="AH1" activePane="topRight" state="frozen"/>
      <selection activeCell="A117" sqref="A117"/>
      <selection pane="topRight" activeCell="AL143" sqref="AL143"/>
    </sheetView>
  </sheetViews>
  <sheetFormatPr baseColWidth="10" defaultRowHeight="14.4" x14ac:dyDescent="0.3"/>
  <cols>
    <col min="41" max="41" width="12" bestFit="1" customWidth="1"/>
  </cols>
  <sheetData>
    <row r="1" spans="1:46" x14ac:dyDescent="0.3">
      <c r="A1" t="s">
        <v>88</v>
      </c>
      <c r="B1" t="s">
        <v>89</v>
      </c>
      <c r="I1" t="s">
        <v>225</v>
      </c>
      <c r="AJ1" t="s">
        <v>228</v>
      </c>
      <c r="AL1" t="s">
        <v>230</v>
      </c>
      <c r="AM1" t="s">
        <v>231</v>
      </c>
      <c r="AO1" t="s">
        <v>232</v>
      </c>
      <c r="AR1" s="1" t="s">
        <v>233</v>
      </c>
    </row>
    <row r="3" spans="1:46" x14ac:dyDescent="0.3">
      <c r="D3" t="s">
        <v>26</v>
      </c>
      <c r="E3" t="s">
        <v>27</v>
      </c>
      <c r="F3" t="s">
        <v>27</v>
      </c>
      <c r="G3" t="s">
        <v>5</v>
      </c>
      <c r="H3" t="s">
        <v>24</v>
      </c>
      <c r="I3" t="s">
        <v>7</v>
      </c>
      <c r="J3" t="s">
        <v>51</v>
      </c>
      <c r="K3" t="s">
        <v>23</v>
      </c>
      <c r="L3" t="s">
        <v>32</v>
      </c>
      <c r="M3" t="s">
        <v>37</v>
      </c>
      <c r="N3" t="s">
        <v>38</v>
      </c>
      <c r="O3" t="s">
        <v>6</v>
      </c>
      <c r="P3" t="s">
        <v>31</v>
      </c>
      <c r="Q3" t="s">
        <v>17</v>
      </c>
      <c r="R3" t="s">
        <v>19</v>
      </c>
      <c r="S3" t="s">
        <v>2</v>
      </c>
      <c r="T3" t="s">
        <v>30</v>
      </c>
      <c r="U3" t="s">
        <v>28</v>
      </c>
      <c r="V3" t="s">
        <v>29</v>
      </c>
      <c r="W3" t="s">
        <v>35</v>
      </c>
      <c r="X3" t="s">
        <v>21</v>
      </c>
      <c r="Y3" t="s">
        <v>36</v>
      </c>
      <c r="Z3" t="s">
        <v>36</v>
      </c>
      <c r="AA3" t="s">
        <v>8</v>
      </c>
      <c r="AB3" t="s">
        <v>11</v>
      </c>
      <c r="AC3" t="s">
        <v>15</v>
      </c>
      <c r="AD3" t="s">
        <v>18</v>
      </c>
      <c r="AE3" t="s">
        <v>52</v>
      </c>
      <c r="AF3" t="s">
        <v>13</v>
      </c>
      <c r="AG3" t="s">
        <v>12</v>
      </c>
      <c r="AH3" t="s">
        <v>53</v>
      </c>
      <c r="AI3" t="s">
        <v>22</v>
      </c>
      <c r="AJ3" t="s">
        <v>0</v>
      </c>
      <c r="AK3" t="s">
        <v>1</v>
      </c>
      <c r="AL3" t="s">
        <v>3</v>
      </c>
      <c r="AM3" t="s">
        <v>4</v>
      </c>
      <c r="AN3" t="s">
        <v>9</v>
      </c>
      <c r="AO3" t="s">
        <v>10</v>
      </c>
      <c r="AP3" t="s">
        <v>14</v>
      </c>
      <c r="AQ3" t="s">
        <v>16</v>
      </c>
      <c r="AR3" t="s">
        <v>20</v>
      </c>
      <c r="AS3" t="s">
        <v>33</v>
      </c>
      <c r="AT3" t="s">
        <v>34</v>
      </c>
    </row>
    <row r="4" spans="1:46" x14ac:dyDescent="0.3">
      <c r="A4" t="s">
        <v>90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73</v>
      </c>
      <c r="V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85</v>
      </c>
      <c r="AH4" t="s">
        <v>86</v>
      </c>
      <c r="AI4" t="s">
        <v>87</v>
      </c>
      <c r="AL4" t="s">
        <v>229</v>
      </c>
      <c r="AT4" t="s">
        <v>226</v>
      </c>
    </row>
    <row r="5" spans="1:46" x14ac:dyDescent="0.3">
      <c r="A5" t="s">
        <v>91</v>
      </c>
      <c r="B5">
        <v>7687219.068</v>
      </c>
      <c r="C5">
        <v>1075</v>
      </c>
      <c r="D5">
        <v>440</v>
      </c>
      <c r="E5">
        <v>810</v>
      </c>
      <c r="F5">
        <v>450</v>
      </c>
      <c r="G5">
        <v>0.38</v>
      </c>
      <c r="H5">
        <v>1100</v>
      </c>
      <c r="K5">
        <v>0.31</v>
      </c>
      <c r="L5">
        <v>160</v>
      </c>
      <c r="M5">
        <v>600</v>
      </c>
      <c r="N5">
        <v>590000</v>
      </c>
      <c r="Q5">
        <v>1.2</v>
      </c>
      <c r="R5">
        <v>0.5</v>
      </c>
      <c r="S5">
        <v>0.5</v>
      </c>
      <c r="T5">
        <v>9.1</v>
      </c>
      <c r="U5">
        <v>0.8</v>
      </c>
      <c r="V5">
        <v>3000</v>
      </c>
      <c r="W5">
        <v>1500</v>
      </c>
      <c r="X5">
        <v>4.2999999999999997E-2</v>
      </c>
      <c r="AA5">
        <v>0.01</v>
      </c>
      <c r="AC5">
        <v>2.2999999999999998</v>
      </c>
      <c r="AH5">
        <v>86</v>
      </c>
      <c r="AP5" s="2">
        <v>4.5999999999999996</v>
      </c>
      <c r="AR5" s="2">
        <v>1.4999999999999999E-2</v>
      </c>
    </row>
    <row r="6" spans="1:46" x14ac:dyDescent="0.3">
      <c r="A6" t="s">
        <v>92</v>
      </c>
      <c r="B6">
        <v>9924776.9470000006</v>
      </c>
      <c r="C6">
        <v>1073</v>
      </c>
      <c r="E6">
        <v>480</v>
      </c>
      <c r="F6">
        <v>310</v>
      </c>
      <c r="G6">
        <v>1.8</v>
      </c>
      <c r="I6">
        <v>2.7E-2</v>
      </c>
      <c r="J6">
        <v>0.12</v>
      </c>
      <c r="K6">
        <v>0.2</v>
      </c>
      <c r="L6">
        <v>180</v>
      </c>
      <c r="M6">
        <v>500</v>
      </c>
      <c r="N6">
        <v>42000</v>
      </c>
      <c r="O6">
        <v>3.6999999999999998E-2</v>
      </c>
      <c r="R6">
        <v>1</v>
      </c>
      <c r="W6">
        <v>3000</v>
      </c>
      <c r="Y6">
        <v>20</v>
      </c>
      <c r="Z6">
        <v>30</v>
      </c>
      <c r="AA6">
        <v>0</v>
      </c>
      <c r="AB6">
        <v>1.6E-2</v>
      </c>
      <c r="AC6">
        <v>2E-3</v>
      </c>
      <c r="AD6">
        <v>0.25</v>
      </c>
      <c r="AH6">
        <v>3.4</v>
      </c>
      <c r="AI6">
        <v>5.4999999999999997E-3</v>
      </c>
      <c r="AM6">
        <f>0.015*0.0228</f>
        <v>3.4200000000000002E-4</v>
      </c>
      <c r="AP6" s="2">
        <v>2.1</v>
      </c>
      <c r="AS6">
        <v>7</v>
      </c>
    </row>
    <row r="7" spans="1:46" x14ac:dyDescent="0.3">
      <c r="A7" t="s">
        <v>93</v>
      </c>
      <c r="B7">
        <v>9325599.0639999993</v>
      </c>
      <c r="C7">
        <v>859</v>
      </c>
      <c r="D7">
        <v>270</v>
      </c>
      <c r="E7">
        <v>1100</v>
      </c>
      <c r="F7">
        <v>890</v>
      </c>
      <c r="G7">
        <v>0.22</v>
      </c>
      <c r="H7">
        <v>750</v>
      </c>
      <c r="K7">
        <v>0.17</v>
      </c>
      <c r="L7">
        <v>17</v>
      </c>
      <c r="M7">
        <v>200</v>
      </c>
      <c r="N7">
        <v>28000</v>
      </c>
      <c r="Q7">
        <v>1</v>
      </c>
      <c r="R7">
        <v>34</v>
      </c>
      <c r="S7">
        <v>0.1</v>
      </c>
      <c r="W7">
        <v>750</v>
      </c>
      <c r="Z7">
        <v>50</v>
      </c>
      <c r="AA7">
        <v>2E-3</v>
      </c>
      <c r="AB7">
        <v>9.7999999999999997E-3</v>
      </c>
      <c r="AD7">
        <v>0.1</v>
      </c>
      <c r="AE7">
        <v>0.19</v>
      </c>
      <c r="AI7">
        <v>2.8999999999999998E-3</v>
      </c>
      <c r="AL7" s="3">
        <v>0.01</v>
      </c>
      <c r="AM7">
        <f>0.004*0.0228</f>
        <v>9.1200000000000008E-5</v>
      </c>
      <c r="AN7" s="2">
        <v>9.1000000000000004E-3</v>
      </c>
      <c r="AO7">
        <f>0.012*0.008018</f>
        <v>9.6216000000000015E-5</v>
      </c>
      <c r="AP7" s="2">
        <v>0.5</v>
      </c>
      <c r="AR7" s="2">
        <v>5.0000000000000001E-3</v>
      </c>
    </row>
    <row r="8" spans="1:46" x14ac:dyDescent="0.3">
      <c r="A8" t="s">
        <v>94</v>
      </c>
      <c r="B8">
        <v>9373898.3239999991</v>
      </c>
      <c r="C8">
        <v>576</v>
      </c>
      <c r="D8">
        <v>1900</v>
      </c>
      <c r="E8">
        <v>1700</v>
      </c>
      <c r="F8">
        <v>12000</v>
      </c>
      <c r="G8">
        <v>9</v>
      </c>
      <c r="H8">
        <v>4000</v>
      </c>
      <c r="I8">
        <v>0.43</v>
      </c>
      <c r="J8">
        <v>1.5</v>
      </c>
      <c r="K8">
        <v>0.37</v>
      </c>
      <c r="L8">
        <v>110</v>
      </c>
      <c r="M8">
        <v>3100</v>
      </c>
      <c r="N8">
        <v>170000</v>
      </c>
      <c r="O8">
        <v>0.65</v>
      </c>
      <c r="Q8">
        <v>3.4</v>
      </c>
      <c r="R8">
        <v>110</v>
      </c>
      <c r="S8">
        <v>0.14000000000000001</v>
      </c>
      <c r="T8">
        <v>68</v>
      </c>
      <c r="U8">
        <v>63</v>
      </c>
      <c r="V8">
        <v>740</v>
      </c>
      <c r="W8">
        <v>41000</v>
      </c>
      <c r="X8">
        <v>7.9000000000000001E-2</v>
      </c>
      <c r="Y8">
        <v>3600</v>
      </c>
      <c r="Z8">
        <v>3000</v>
      </c>
      <c r="AA8">
        <v>2.8000000000000004E-3</v>
      </c>
      <c r="AC8">
        <v>40</v>
      </c>
      <c r="AD8">
        <v>0.26</v>
      </c>
      <c r="AE8">
        <v>7.3999999999999996E-2</v>
      </c>
      <c r="AF8">
        <v>16</v>
      </c>
      <c r="AG8">
        <v>24</v>
      </c>
      <c r="AH8">
        <v>33</v>
      </c>
      <c r="AJ8">
        <f>0.66*0.015</f>
        <v>9.9000000000000008E-3</v>
      </c>
      <c r="AK8">
        <v>0.6</v>
      </c>
      <c r="AN8" s="2">
        <v>2.5000000000000001E-3</v>
      </c>
      <c r="AO8">
        <f>0.012*0.008018</f>
        <v>9.6216000000000015E-5</v>
      </c>
      <c r="AQ8" s="2">
        <v>68</v>
      </c>
      <c r="AR8">
        <v>7</v>
      </c>
      <c r="AT8">
        <v>830</v>
      </c>
    </row>
    <row r="9" spans="1:46" x14ac:dyDescent="0.3">
      <c r="A9" t="s">
        <v>95</v>
      </c>
      <c r="B9">
        <v>16945398.16</v>
      </c>
      <c r="C9">
        <v>320</v>
      </c>
      <c r="D9">
        <v>200</v>
      </c>
      <c r="E9">
        <v>910</v>
      </c>
      <c r="F9">
        <v>1000</v>
      </c>
      <c r="G9">
        <v>1</v>
      </c>
      <c r="H9">
        <v>310</v>
      </c>
      <c r="I9">
        <v>7.4999999999999997E-2</v>
      </c>
      <c r="J9">
        <v>0.36</v>
      </c>
      <c r="K9">
        <v>0.31</v>
      </c>
      <c r="L9">
        <v>200</v>
      </c>
      <c r="N9">
        <v>58000</v>
      </c>
      <c r="O9">
        <v>5.0000000000000001E-3</v>
      </c>
      <c r="Q9">
        <v>1.2</v>
      </c>
      <c r="R9">
        <v>1.7</v>
      </c>
      <c r="T9">
        <v>2.7</v>
      </c>
      <c r="U9">
        <v>2</v>
      </c>
      <c r="W9">
        <v>3800</v>
      </c>
      <c r="X9">
        <v>0.02</v>
      </c>
      <c r="Y9">
        <v>570</v>
      </c>
      <c r="Z9">
        <v>50</v>
      </c>
      <c r="AA9">
        <v>0</v>
      </c>
      <c r="AB9">
        <v>9.1999999999999998E-2</v>
      </c>
      <c r="AC9">
        <v>4.3</v>
      </c>
      <c r="AG9">
        <v>0.2</v>
      </c>
      <c r="AI9">
        <v>2.3E-2</v>
      </c>
      <c r="AJ9">
        <f>0.33*0.015</f>
        <v>4.9500000000000004E-3</v>
      </c>
      <c r="AK9" s="2">
        <v>5.0000000000000001E-3</v>
      </c>
      <c r="AL9" s="3">
        <v>0.06</v>
      </c>
      <c r="AM9">
        <f>0.096*0.0228</f>
        <v>2.1888000000000003E-3</v>
      </c>
      <c r="AO9">
        <f>0.025*0.008018</f>
        <v>2.0045000000000002E-4</v>
      </c>
      <c r="AP9" s="2">
        <v>8.8000000000000007</v>
      </c>
      <c r="AQ9" s="2">
        <v>20</v>
      </c>
      <c r="AS9">
        <v>0.44</v>
      </c>
      <c r="AT9">
        <v>20</v>
      </c>
    </row>
    <row r="10" spans="1:46" x14ac:dyDescent="0.3">
      <c r="A10" t="s">
        <v>96</v>
      </c>
      <c r="B10">
        <v>1957508.2509999999</v>
      </c>
      <c r="C10">
        <v>270</v>
      </c>
      <c r="D10">
        <v>270</v>
      </c>
      <c r="E10">
        <v>750</v>
      </c>
      <c r="F10">
        <v>480</v>
      </c>
      <c r="G10">
        <v>1.1000000000000001</v>
      </c>
      <c r="H10">
        <v>690</v>
      </c>
      <c r="K10">
        <v>0.12</v>
      </c>
      <c r="N10">
        <v>7600</v>
      </c>
      <c r="Q10">
        <v>6.4</v>
      </c>
      <c r="R10">
        <v>15</v>
      </c>
      <c r="V10">
        <v>220</v>
      </c>
      <c r="AA10">
        <v>0</v>
      </c>
      <c r="AC10">
        <v>0.7</v>
      </c>
    </row>
    <row r="11" spans="1:46" x14ac:dyDescent="0.3">
      <c r="A11" t="s">
        <v>97</v>
      </c>
      <c r="B11">
        <v>1291445.152</v>
      </c>
      <c r="C11">
        <v>211</v>
      </c>
      <c r="D11">
        <v>250</v>
      </c>
      <c r="E11">
        <v>2600</v>
      </c>
      <c r="F11">
        <v>400</v>
      </c>
      <c r="G11">
        <v>0.79</v>
      </c>
      <c r="H11">
        <v>1400</v>
      </c>
      <c r="J11">
        <v>5.7000000000000002E-2</v>
      </c>
      <c r="K11">
        <v>0.09</v>
      </c>
      <c r="N11">
        <v>13000</v>
      </c>
      <c r="Q11">
        <v>3.1</v>
      </c>
      <c r="R11">
        <v>37</v>
      </c>
      <c r="T11">
        <v>23</v>
      </c>
      <c r="AA11">
        <v>0</v>
      </c>
      <c r="AG11">
        <v>27</v>
      </c>
    </row>
    <row r="12" spans="1:46" x14ac:dyDescent="0.3">
      <c r="A12" t="s">
        <v>98</v>
      </c>
      <c r="B12">
        <v>1220393.7279999999</v>
      </c>
      <c r="C12">
        <v>191</v>
      </c>
      <c r="G12">
        <v>0</v>
      </c>
      <c r="H12">
        <v>230</v>
      </c>
      <c r="I12">
        <v>5.0000000000000001E-3</v>
      </c>
      <c r="K12">
        <v>0.1</v>
      </c>
      <c r="M12">
        <v>1100</v>
      </c>
      <c r="N12">
        <v>39000</v>
      </c>
      <c r="P12">
        <v>18000</v>
      </c>
      <c r="S12">
        <v>0.4</v>
      </c>
      <c r="V12">
        <v>7200</v>
      </c>
      <c r="AA12">
        <v>8.0000000000000002E-3</v>
      </c>
      <c r="AB12">
        <v>7.0999999999999994E-2</v>
      </c>
      <c r="AI12">
        <v>0.12</v>
      </c>
      <c r="AL12" s="3">
        <v>0.91</v>
      </c>
      <c r="AM12">
        <f>0.812*0.0228</f>
        <v>1.8513600000000002E-2</v>
      </c>
      <c r="AO12">
        <f>0.874*0.008018</f>
        <v>7.0077320000000009E-3</v>
      </c>
      <c r="AQ12" s="2">
        <v>9.1</v>
      </c>
    </row>
    <row r="13" spans="1:46" x14ac:dyDescent="0.3">
      <c r="A13" t="s">
        <v>99</v>
      </c>
      <c r="B13">
        <v>8484839.227</v>
      </c>
      <c r="C13">
        <v>174</v>
      </c>
      <c r="G13">
        <v>1</v>
      </c>
      <c r="K13">
        <v>0.06</v>
      </c>
      <c r="L13">
        <v>89</v>
      </c>
      <c r="M13">
        <v>54</v>
      </c>
      <c r="N13">
        <v>280000</v>
      </c>
      <c r="T13">
        <v>18</v>
      </c>
      <c r="V13">
        <v>620</v>
      </c>
      <c r="W13">
        <v>1100</v>
      </c>
      <c r="X13">
        <v>0.36</v>
      </c>
      <c r="Y13">
        <v>190</v>
      </c>
      <c r="Z13">
        <v>200</v>
      </c>
      <c r="AA13">
        <v>0</v>
      </c>
      <c r="AE13">
        <v>0.04</v>
      </c>
      <c r="AH13">
        <v>4.9000000000000004</v>
      </c>
      <c r="AQ13" s="2">
        <v>6.4</v>
      </c>
      <c r="AR13" s="2">
        <v>1.4999999999999999E-2</v>
      </c>
      <c r="AS13">
        <v>75</v>
      </c>
      <c r="AT13">
        <v>22</v>
      </c>
    </row>
    <row r="14" spans="1:46" x14ac:dyDescent="0.3">
      <c r="A14" t="s">
        <v>100</v>
      </c>
      <c r="B14">
        <v>754236.87829999998</v>
      </c>
      <c r="C14">
        <v>133</v>
      </c>
      <c r="E14">
        <v>5000</v>
      </c>
      <c r="F14">
        <v>2000</v>
      </c>
      <c r="G14">
        <v>0</v>
      </c>
      <c r="N14">
        <v>11000</v>
      </c>
      <c r="Q14">
        <v>1.4</v>
      </c>
      <c r="R14">
        <v>46</v>
      </c>
      <c r="AA14">
        <v>0</v>
      </c>
      <c r="AH14">
        <v>44</v>
      </c>
      <c r="AN14" s="2">
        <v>0.03</v>
      </c>
    </row>
    <row r="15" spans="1:46" x14ac:dyDescent="0.3">
      <c r="A15" t="s">
        <v>101</v>
      </c>
      <c r="B15">
        <v>2704398.7880000002</v>
      </c>
      <c r="C15">
        <v>106</v>
      </c>
      <c r="E15">
        <v>600</v>
      </c>
      <c r="F15">
        <v>440</v>
      </c>
      <c r="G15">
        <v>0</v>
      </c>
      <c r="H15">
        <v>330</v>
      </c>
      <c r="K15">
        <v>0.13</v>
      </c>
      <c r="N15">
        <v>8800</v>
      </c>
      <c r="P15">
        <v>6000</v>
      </c>
      <c r="Q15">
        <v>0.99</v>
      </c>
      <c r="V15">
        <v>130</v>
      </c>
      <c r="Y15">
        <v>120</v>
      </c>
      <c r="Z15">
        <v>5</v>
      </c>
      <c r="AA15">
        <v>0</v>
      </c>
      <c r="AC15">
        <v>0.3</v>
      </c>
      <c r="AF15">
        <v>0.16</v>
      </c>
      <c r="AJ15">
        <f>0.01*0.015</f>
        <v>1.4999999999999999E-4</v>
      </c>
      <c r="AN15" s="2">
        <v>5.0000000000000001E-4</v>
      </c>
      <c r="AT15">
        <v>25</v>
      </c>
    </row>
    <row r="16" spans="1:46" x14ac:dyDescent="0.3">
      <c r="A16" t="s">
        <v>102</v>
      </c>
      <c r="B16">
        <v>296016.592</v>
      </c>
      <c r="C16">
        <v>101</v>
      </c>
      <c r="G16">
        <v>0</v>
      </c>
      <c r="L16">
        <v>400</v>
      </c>
      <c r="AA16">
        <v>0</v>
      </c>
      <c r="AP16" s="2">
        <v>3.8</v>
      </c>
    </row>
    <row r="17" spans="1:46" x14ac:dyDescent="0.3">
      <c r="A17" t="s">
        <v>103</v>
      </c>
      <c r="B17">
        <v>2779705.3369999998</v>
      </c>
      <c r="C17">
        <v>84</v>
      </c>
      <c r="G17">
        <v>0</v>
      </c>
      <c r="Q17">
        <v>0.91</v>
      </c>
      <c r="AA17">
        <v>0</v>
      </c>
      <c r="AH17">
        <v>9.6</v>
      </c>
    </row>
    <row r="18" spans="1:46" x14ac:dyDescent="0.3">
      <c r="A18" t="s">
        <v>104</v>
      </c>
      <c r="B18">
        <v>1888924.058</v>
      </c>
      <c r="C18">
        <v>83</v>
      </c>
      <c r="E18">
        <v>840</v>
      </c>
      <c r="F18">
        <v>200</v>
      </c>
      <c r="G18">
        <v>0</v>
      </c>
      <c r="K18">
        <v>0.11</v>
      </c>
      <c r="L18">
        <v>1800</v>
      </c>
      <c r="S18">
        <v>0.09</v>
      </c>
      <c r="T18">
        <v>52</v>
      </c>
      <c r="AA18">
        <v>1.8E-3</v>
      </c>
      <c r="AP18" s="2">
        <v>17</v>
      </c>
    </row>
    <row r="19" spans="1:46" x14ac:dyDescent="0.3">
      <c r="A19" t="s">
        <v>105</v>
      </c>
      <c r="B19">
        <v>449206.16570000001</v>
      </c>
      <c r="C19">
        <v>62</v>
      </c>
      <c r="D19">
        <v>70</v>
      </c>
      <c r="G19">
        <v>0</v>
      </c>
      <c r="H19">
        <v>220</v>
      </c>
      <c r="I19">
        <v>2.5000000000000001E-2</v>
      </c>
      <c r="J19">
        <v>8.0000000000000002E-3</v>
      </c>
      <c r="N19">
        <v>27000</v>
      </c>
      <c r="AA19">
        <v>0</v>
      </c>
    </row>
    <row r="20" spans="1:46" x14ac:dyDescent="0.3">
      <c r="A20" t="s">
        <v>106</v>
      </c>
      <c r="B20">
        <v>390648.41680000001</v>
      </c>
      <c r="C20">
        <v>56</v>
      </c>
      <c r="G20">
        <v>0</v>
      </c>
      <c r="AA20">
        <v>0</v>
      </c>
      <c r="AB20">
        <v>1.4999999999999999E-2</v>
      </c>
      <c r="AI20">
        <v>1.9E-2</v>
      </c>
      <c r="AL20" s="3">
        <v>0.02</v>
      </c>
      <c r="AM20">
        <f>0.073*0.0228</f>
        <v>1.6643999999999999E-3</v>
      </c>
      <c r="AO20">
        <f>0.076*0.008018</f>
        <v>6.09368E-4</v>
      </c>
    </row>
    <row r="21" spans="1:46" x14ac:dyDescent="0.3">
      <c r="A21" t="s">
        <v>107</v>
      </c>
      <c r="B21">
        <v>2327985.8659999999</v>
      </c>
      <c r="C21">
        <v>54</v>
      </c>
      <c r="E21">
        <v>2500</v>
      </c>
      <c r="F21">
        <v>1900</v>
      </c>
      <c r="G21">
        <v>0.22</v>
      </c>
      <c r="T21">
        <v>19</v>
      </c>
      <c r="X21">
        <v>0.98</v>
      </c>
      <c r="AA21">
        <v>0</v>
      </c>
      <c r="AP21" s="2">
        <v>170</v>
      </c>
      <c r="AS21">
        <v>0.54</v>
      </c>
    </row>
    <row r="22" spans="1:46" x14ac:dyDescent="0.3">
      <c r="A22" t="s">
        <v>108</v>
      </c>
      <c r="B22">
        <v>335647.0184</v>
      </c>
      <c r="C22">
        <v>51</v>
      </c>
      <c r="G22">
        <v>0</v>
      </c>
      <c r="J22">
        <v>0.1</v>
      </c>
      <c r="P22">
        <v>2000</v>
      </c>
      <c r="AA22">
        <v>0</v>
      </c>
    </row>
    <row r="23" spans="1:46" x14ac:dyDescent="0.3">
      <c r="A23" t="s">
        <v>109</v>
      </c>
      <c r="B23">
        <v>824206.08369999996</v>
      </c>
      <c r="C23">
        <v>50</v>
      </c>
      <c r="G23">
        <v>0.34</v>
      </c>
      <c r="AA23">
        <v>0</v>
      </c>
    </row>
    <row r="24" spans="1:46" x14ac:dyDescent="0.3">
      <c r="A24" t="s">
        <v>110</v>
      </c>
      <c r="B24">
        <v>781151.76540000003</v>
      </c>
      <c r="C24">
        <v>49</v>
      </c>
      <c r="D24">
        <v>70</v>
      </c>
      <c r="G24">
        <v>0</v>
      </c>
      <c r="J24">
        <v>0.05</v>
      </c>
      <c r="N24">
        <v>10000</v>
      </c>
      <c r="P24">
        <v>6000</v>
      </c>
      <c r="AA24">
        <v>0</v>
      </c>
      <c r="AC24">
        <v>6</v>
      </c>
      <c r="AP24" s="2">
        <v>2.8</v>
      </c>
      <c r="AT24">
        <v>15</v>
      </c>
    </row>
    <row r="25" spans="1:46" x14ac:dyDescent="0.3">
      <c r="A25" t="s">
        <v>111</v>
      </c>
      <c r="B25">
        <v>238760.764</v>
      </c>
      <c r="C25">
        <v>47</v>
      </c>
      <c r="G25">
        <v>0.38</v>
      </c>
      <c r="K25">
        <v>0.09</v>
      </c>
      <c r="V25">
        <v>840</v>
      </c>
      <c r="AA25">
        <v>0</v>
      </c>
    </row>
    <row r="26" spans="1:46" x14ac:dyDescent="0.3">
      <c r="A26" t="s">
        <v>112</v>
      </c>
      <c r="B26">
        <v>3153013.3390000002</v>
      </c>
      <c r="C26">
        <v>47</v>
      </c>
      <c r="D26">
        <v>220</v>
      </c>
      <c r="G26">
        <v>0.23</v>
      </c>
      <c r="H26">
        <v>860</v>
      </c>
      <c r="J26">
        <v>1.4E-2</v>
      </c>
      <c r="M26">
        <v>223</v>
      </c>
      <c r="N26">
        <v>170000</v>
      </c>
      <c r="P26">
        <v>4200</v>
      </c>
      <c r="Q26">
        <v>0.69</v>
      </c>
      <c r="V26">
        <v>720</v>
      </c>
      <c r="W26">
        <v>4100</v>
      </c>
      <c r="Y26">
        <v>60</v>
      </c>
      <c r="AA26">
        <v>0</v>
      </c>
      <c r="AR26" s="2">
        <v>5.6000000000000001E-2</v>
      </c>
    </row>
    <row r="27" spans="1:46" x14ac:dyDescent="0.3">
      <c r="A27" t="s">
        <v>113</v>
      </c>
      <c r="B27">
        <v>1566208.9380000001</v>
      </c>
      <c r="C27">
        <v>43</v>
      </c>
      <c r="G27">
        <v>4</v>
      </c>
      <c r="R27">
        <v>3.1</v>
      </c>
      <c r="AA27">
        <v>0</v>
      </c>
    </row>
    <row r="28" spans="1:46" x14ac:dyDescent="0.3">
      <c r="A28" t="s">
        <v>114</v>
      </c>
      <c r="B28">
        <v>256211.533</v>
      </c>
      <c r="C28">
        <v>42</v>
      </c>
      <c r="G28">
        <v>0.75</v>
      </c>
      <c r="AA28">
        <v>0</v>
      </c>
    </row>
    <row r="29" spans="1:46" x14ac:dyDescent="0.3">
      <c r="A29" t="s">
        <v>115</v>
      </c>
      <c r="B29">
        <v>273366.65149999998</v>
      </c>
      <c r="C29">
        <v>40</v>
      </c>
      <c r="G29">
        <v>1.8</v>
      </c>
      <c r="K29">
        <v>0.06</v>
      </c>
      <c r="AA29">
        <v>0</v>
      </c>
    </row>
    <row r="30" spans="1:46" x14ac:dyDescent="0.3">
      <c r="A30" t="s">
        <v>116</v>
      </c>
      <c r="B30">
        <v>941757.40899999999</v>
      </c>
      <c r="C30">
        <v>38</v>
      </c>
      <c r="K30">
        <v>0.06</v>
      </c>
      <c r="AA30">
        <v>0</v>
      </c>
    </row>
    <row r="31" spans="1:46" x14ac:dyDescent="0.3">
      <c r="A31" t="s">
        <v>117</v>
      </c>
      <c r="B31">
        <v>462195.9559</v>
      </c>
      <c r="C31">
        <v>35</v>
      </c>
      <c r="AA31">
        <v>0</v>
      </c>
      <c r="AP31" s="2">
        <v>2.9</v>
      </c>
    </row>
    <row r="32" spans="1:46" x14ac:dyDescent="0.3">
      <c r="A32" t="s">
        <v>118</v>
      </c>
      <c r="B32">
        <v>1085047.2660000001</v>
      </c>
      <c r="C32">
        <v>34</v>
      </c>
      <c r="D32">
        <v>90</v>
      </c>
      <c r="H32">
        <v>490</v>
      </c>
      <c r="Q32">
        <v>1.2</v>
      </c>
      <c r="T32">
        <v>18</v>
      </c>
      <c r="U32">
        <v>1.5</v>
      </c>
      <c r="AA32">
        <v>0</v>
      </c>
      <c r="AC32">
        <v>3</v>
      </c>
      <c r="AF32">
        <v>0.04</v>
      </c>
    </row>
    <row r="33" spans="1:46" x14ac:dyDescent="0.3">
      <c r="A33" t="s">
        <v>119</v>
      </c>
      <c r="B33">
        <v>1137921.4620000001</v>
      </c>
      <c r="C33">
        <v>33</v>
      </c>
      <c r="AA33">
        <v>0</v>
      </c>
    </row>
    <row r="34" spans="1:46" x14ac:dyDescent="0.3">
      <c r="A34" t="s">
        <v>120</v>
      </c>
      <c r="B34">
        <v>199252.30559999999</v>
      </c>
      <c r="C34">
        <v>31</v>
      </c>
      <c r="AA34">
        <v>0</v>
      </c>
    </row>
    <row r="35" spans="1:46" x14ac:dyDescent="0.3">
      <c r="A35" t="s">
        <v>121</v>
      </c>
      <c r="B35">
        <v>505751.78419999999</v>
      </c>
      <c r="C35">
        <v>31</v>
      </c>
      <c r="U35">
        <v>1.5</v>
      </c>
      <c r="Y35">
        <v>50</v>
      </c>
      <c r="Z35">
        <v>6</v>
      </c>
      <c r="AA35">
        <v>0</v>
      </c>
    </row>
    <row r="36" spans="1:46" x14ac:dyDescent="0.3">
      <c r="A36" t="s">
        <v>122</v>
      </c>
      <c r="B36">
        <v>1251575.0290000001</v>
      </c>
      <c r="C36">
        <v>30</v>
      </c>
      <c r="K36">
        <v>0.06</v>
      </c>
      <c r="AA36">
        <v>0</v>
      </c>
    </row>
    <row r="37" spans="1:46" x14ac:dyDescent="0.3">
      <c r="A37" t="s">
        <v>123</v>
      </c>
      <c r="B37">
        <v>751315.31900000002</v>
      </c>
      <c r="C37">
        <v>29</v>
      </c>
      <c r="E37">
        <v>760</v>
      </c>
      <c r="F37">
        <v>380</v>
      </c>
      <c r="AA37">
        <v>0</v>
      </c>
    </row>
    <row r="38" spans="1:46" x14ac:dyDescent="0.3">
      <c r="A38" t="s">
        <v>124</v>
      </c>
      <c r="B38">
        <v>244871.57980000001</v>
      </c>
      <c r="C38">
        <v>25</v>
      </c>
      <c r="AA38">
        <v>0</v>
      </c>
    </row>
    <row r="39" spans="1:46" x14ac:dyDescent="0.3">
      <c r="A39" t="s">
        <v>125</v>
      </c>
      <c r="B39">
        <v>1959676.192</v>
      </c>
      <c r="C39">
        <v>24</v>
      </c>
      <c r="W39">
        <v>2700</v>
      </c>
      <c r="AA39">
        <v>0</v>
      </c>
    </row>
    <row r="40" spans="1:46" x14ac:dyDescent="0.3">
      <c r="A40" t="s">
        <v>126</v>
      </c>
      <c r="B40">
        <v>912556.53489999997</v>
      </c>
      <c r="C40">
        <v>23</v>
      </c>
      <c r="AA40">
        <v>0</v>
      </c>
    </row>
    <row r="41" spans="1:46" x14ac:dyDescent="0.3">
      <c r="A41" t="s">
        <v>127</v>
      </c>
      <c r="B41">
        <v>433158.9472</v>
      </c>
      <c r="C41">
        <v>20</v>
      </c>
      <c r="G41">
        <v>0.22</v>
      </c>
      <c r="I41">
        <v>3.0000000000000001E-3</v>
      </c>
      <c r="K41">
        <v>0.1</v>
      </c>
      <c r="O41">
        <v>1E-3</v>
      </c>
      <c r="R41">
        <v>1.7</v>
      </c>
      <c r="AA41">
        <v>0</v>
      </c>
      <c r="AC41">
        <v>21.04</v>
      </c>
      <c r="AN41" s="2">
        <v>4.8999999999999998E-3</v>
      </c>
    </row>
    <row r="42" spans="1:46" x14ac:dyDescent="0.3">
      <c r="A42" t="s">
        <v>128</v>
      </c>
      <c r="B42">
        <v>578083.48979999998</v>
      </c>
      <c r="C42">
        <v>19</v>
      </c>
      <c r="G42">
        <v>0</v>
      </c>
      <c r="AA42">
        <v>0</v>
      </c>
    </row>
    <row r="43" spans="1:46" x14ac:dyDescent="0.3">
      <c r="A43" t="s">
        <v>129</v>
      </c>
      <c r="B43">
        <v>321881.89850000001</v>
      </c>
      <c r="C43">
        <v>19</v>
      </c>
      <c r="G43">
        <v>0.34</v>
      </c>
      <c r="V43">
        <v>390</v>
      </c>
      <c r="AA43">
        <v>0</v>
      </c>
    </row>
    <row r="44" spans="1:46" x14ac:dyDescent="0.3">
      <c r="A44" t="s">
        <v>130</v>
      </c>
      <c r="B44">
        <v>111272.7623</v>
      </c>
      <c r="C44">
        <v>19</v>
      </c>
      <c r="G44">
        <v>0</v>
      </c>
      <c r="AA44">
        <v>0</v>
      </c>
      <c r="AP44" s="2">
        <v>3.2</v>
      </c>
    </row>
    <row r="45" spans="1:46" x14ac:dyDescent="0.3">
      <c r="A45" t="s">
        <v>131</v>
      </c>
      <c r="B45">
        <v>210024.73740000001</v>
      </c>
      <c r="C45">
        <v>19</v>
      </c>
      <c r="G45">
        <v>0.38</v>
      </c>
      <c r="AA45">
        <v>0</v>
      </c>
    </row>
    <row r="46" spans="1:46" x14ac:dyDescent="0.3">
      <c r="A46" t="s">
        <v>132</v>
      </c>
      <c r="B46">
        <v>91978.433869999993</v>
      </c>
      <c r="C46">
        <v>19</v>
      </c>
      <c r="G46">
        <v>0.23</v>
      </c>
      <c r="U46">
        <v>0.5</v>
      </c>
      <c r="AA46">
        <v>0</v>
      </c>
      <c r="AH46">
        <v>0.38</v>
      </c>
    </row>
    <row r="47" spans="1:46" x14ac:dyDescent="0.3">
      <c r="A47" t="s">
        <v>133</v>
      </c>
      <c r="B47">
        <v>327732.4755</v>
      </c>
      <c r="C47">
        <v>18</v>
      </c>
      <c r="G47">
        <v>4</v>
      </c>
      <c r="M47">
        <v>140</v>
      </c>
      <c r="T47">
        <v>5.3</v>
      </c>
      <c r="U47">
        <v>3.5</v>
      </c>
      <c r="V47">
        <v>160</v>
      </c>
      <c r="AA47">
        <v>0</v>
      </c>
      <c r="AC47">
        <v>0.25</v>
      </c>
    </row>
    <row r="48" spans="1:46" x14ac:dyDescent="0.3">
      <c r="A48" t="s">
        <v>134</v>
      </c>
      <c r="B48">
        <v>1621475.915</v>
      </c>
      <c r="C48">
        <v>16</v>
      </c>
      <c r="D48">
        <v>50</v>
      </c>
      <c r="G48">
        <v>0.75</v>
      </c>
      <c r="N48">
        <v>50000</v>
      </c>
      <c r="R48">
        <v>3.7</v>
      </c>
      <c r="AA48">
        <v>0</v>
      </c>
      <c r="AC48">
        <v>0.5</v>
      </c>
      <c r="AT48">
        <v>5</v>
      </c>
    </row>
    <row r="49" spans="1:44" x14ac:dyDescent="0.3">
      <c r="A49" t="s">
        <v>135</v>
      </c>
      <c r="B49">
        <v>88477.994250000003</v>
      </c>
      <c r="C49">
        <v>16</v>
      </c>
      <c r="G49">
        <v>1.8</v>
      </c>
      <c r="AA49">
        <v>0</v>
      </c>
    </row>
    <row r="50" spans="1:44" x14ac:dyDescent="0.3">
      <c r="A50" t="s">
        <v>136</v>
      </c>
      <c r="B50">
        <v>29688.437379999999</v>
      </c>
      <c r="C50">
        <v>14</v>
      </c>
      <c r="R50">
        <v>7.8</v>
      </c>
      <c r="AA50">
        <v>0</v>
      </c>
      <c r="AN50" s="2">
        <v>2.7999999999999998E-4</v>
      </c>
    </row>
    <row r="51" spans="1:44" x14ac:dyDescent="0.3">
      <c r="A51" t="s">
        <v>137</v>
      </c>
      <c r="B51">
        <v>69809.493010000006</v>
      </c>
      <c r="C51">
        <v>14</v>
      </c>
      <c r="AA51">
        <v>0</v>
      </c>
    </row>
    <row r="52" spans="1:44" x14ac:dyDescent="0.3">
      <c r="A52" t="s">
        <v>138</v>
      </c>
      <c r="B52">
        <v>129012.7215</v>
      </c>
      <c r="C52">
        <v>14</v>
      </c>
      <c r="AA52">
        <v>0</v>
      </c>
    </row>
    <row r="53" spans="1:44" x14ac:dyDescent="0.3">
      <c r="A53" t="s">
        <v>139</v>
      </c>
      <c r="B53">
        <v>2316558.6579999998</v>
      </c>
      <c r="C53">
        <v>13</v>
      </c>
      <c r="AA53">
        <v>0</v>
      </c>
    </row>
    <row r="54" spans="1:44" x14ac:dyDescent="0.3">
      <c r="A54" t="s">
        <v>140</v>
      </c>
      <c r="B54">
        <v>111300.4804</v>
      </c>
      <c r="C54">
        <v>13</v>
      </c>
      <c r="G54">
        <v>0.34</v>
      </c>
      <c r="I54">
        <v>3.0000000000000001E-3</v>
      </c>
      <c r="AA54">
        <v>0</v>
      </c>
      <c r="AF54">
        <v>0.05</v>
      </c>
    </row>
    <row r="55" spans="1:44" x14ac:dyDescent="0.3">
      <c r="A55" t="s">
        <v>141</v>
      </c>
      <c r="B55">
        <v>2165194.4350000001</v>
      </c>
      <c r="C55">
        <v>13</v>
      </c>
      <c r="AA55">
        <v>0</v>
      </c>
    </row>
    <row r="56" spans="1:44" x14ac:dyDescent="0.3">
      <c r="A56" t="s">
        <v>142</v>
      </c>
      <c r="B56">
        <v>329720.9498</v>
      </c>
      <c r="C56">
        <v>13</v>
      </c>
      <c r="T56">
        <v>6.1</v>
      </c>
      <c r="V56">
        <v>250</v>
      </c>
      <c r="W56">
        <v>980</v>
      </c>
      <c r="Y56">
        <v>80</v>
      </c>
      <c r="AA56">
        <v>0</v>
      </c>
      <c r="AR56" s="2">
        <v>2E-3</v>
      </c>
    </row>
    <row r="57" spans="1:44" x14ac:dyDescent="0.3">
      <c r="A57" t="s">
        <v>143</v>
      </c>
      <c r="B57">
        <v>1183765.115</v>
      </c>
      <c r="C57">
        <v>13</v>
      </c>
      <c r="AA57">
        <v>0</v>
      </c>
    </row>
    <row r="58" spans="1:44" x14ac:dyDescent="0.3">
      <c r="A58" t="s">
        <v>144</v>
      </c>
      <c r="B58">
        <v>909481.58739999996</v>
      </c>
      <c r="C58">
        <v>13</v>
      </c>
      <c r="T58">
        <v>8.1</v>
      </c>
      <c r="X58">
        <v>0.11</v>
      </c>
      <c r="AA58">
        <v>0</v>
      </c>
    </row>
    <row r="59" spans="1:44" x14ac:dyDescent="0.3">
      <c r="A59" t="s">
        <v>145</v>
      </c>
      <c r="B59">
        <v>600352.96429999999</v>
      </c>
      <c r="C59">
        <v>13</v>
      </c>
      <c r="M59">
        <v>110</v>
      </c>
      <c r="N59">
        <v>22000</v>
      </c>
      <c r="V59">
        <v>320</v>
      </c>
      <c r="Y59">
        <v>2</v>
      </c>
      <c r="AA59">
        <v>0</v>
      </c>
    </row>
    <row r="60" spans="1:44" x14ac:dyDescent="0.3">
      <c r="A60" t="s">
        <v>146</v>
      </c>
      <c r="B60">
        <v>48183.427210000002</v>
      </c>
      <c r="C60">
        <v>12</v>
      </c>
      <c r="AA60">
        <v>0</v>
      </c>
    </row>
    <row r="61" spans="1:44" x14ac:dyDescent="0.3">
      <c r="A61" t="s">
        <v>147</v>
      </c>
      <c r="B61">
        <v>142051.62779999999</v>
      </c>
      <c r="C61">
        <v>12</v>
      </c>
      <c r="D61">
        <v>50</v>
      </c>
      <c r="AA61">
        <v>0</v>
      </c>
    </row>
    <row r="62" spans="1:44" x14ac:dyDescent="0.3">
      <c r="A62" t="s">
        <v>148</v>
      </c>
      <c r="B62">
        <v>466295.00400000002</v>
      </c>
      <c r="C62">
        <v>11</v>
      </c>
      <c r="AA62">
        <v>0</v>
      </c>
    </row>
    <row r="63" spans="1:44" x14ac:dyDescent="0.3">
      <c r="A63" t="s">
        <v>149</v>
      </c>
      <c r="B63">
        <v>18297.841069999999</v>
      </c>
      <c r="C63">
        <v>11</v>
      </c>
      <c r="AA63">
        <v>0</v>
      </c>
    </row>
    <row r="64" spans="1:44" x14ac:dyDescent="0.3">
      <c r="A64" t="s">
        <v>150</v>
      </c>
      <c r="B64">
        <v>113032.1453</v>
      </c>
      <c r="C64">
        <v>11</v>
      </c>
      <c r="AA64">
        <v>0</v>
      </c>
    </row>
    <row r="65" spans="1:33" x14ac:dyDescent="0.3">
      <c r="A65" t="s">
        <v>151</v>
      </c>
      <c r="B65">
        <v>1040735.878</v>
      </c>
      <c r="C65">
        <v>11</v>
      </c>
      <c r="N65">
        <v>8100</v>
      </c>
      <c r="AA65">
        <v>0</v>
      </c>
    </row>
    <row r="66" spans="1:33" x14ac:dyDescent="0.3">
      <c r="A66" t="s">
        <v>152</v>
      </c>
      <c r="B66">
        <v>270408.59539999999</v>
      </c>
      <c r="C66">
        <v>11</v>
      </c>
      <c r="AA66">
        <v>0</v>
      </c>
    </row>
    <row r="67" spans="1:33" x14ac:dyDescent="0.3">
      <c r="A67" t="s">
        <v>153</v>
      </c>
      <c r="B67">
        <v>982443.20559999999</v>
      </c>
      <c r="C67">
        <v>10</v>
      </c>
      <c r="AA67">
        <v>0</v>
      </c>
    </row>
    <row r="68" spans="1:33" x14ac:dyDescent="0.3">
      <c r="A68" t="s">
        <v>154</v>
      </c>
      <c r="B68">
        <v>109283.04</v>
      </c>
      <c r="C68">
        <v>10</v>
      </c>
      <c r="AA68">
        <v>0</v>
      </c>
      <c r="AC68">
        <v>2.4E-2</v>
      </c>
    </row>
    <row r="69" spans="1:33" x14ac:dyDescent="0.3">
      <c r="A69" t="s">
        <v>155</v>
      </c>
      <c r="B69">
        <v>406318.12229999999</v>
      </c>
      <c r="C69">
        <v>10</v>
      </c>
      <c r="AA69">
        <v>0</v>
      </c>
      <c r="AG69">
        <v>8</v>
      </c>
    </row>
    <row r="70" spans="1:33" x14ac:dyDescent="0.3">
      <c r="A70" t="s">
        <v>156</v>
      </c>
      <c r="B70">
        <v>324286.34950000001</v>
      </c>
      <c r="C70">
        <v>10</v>
      </c>
      <c r="G70">
        <v>0.38</v>
      </c>
      <c r="M70">
        <v>430</v>
      </c>
      <c r="W70">
        <v>2030</v>
      </c>
      <c r="Y70">
        <v>280</v>
      </c>
      <c r="Z70">
        <v>190</v>
      </c>
      <c r="AA70">
        <v>0</v>
      </c>
    </row>
    <row r="71" spans="1:33" x14ac:dyDescent="0.3">
      <c r="A71" t="s">
        <v>157</v>
      </c>
      <c r="B71">
        <v>75041.860759999996</v>
      </c>
      <c r="C71">
        <v>10</v>
      </c>
      <c r="AA71">
        <v>0</v>
      </c>
    </row>
    <row r="72" spans="1:33" x14ac:dyDescent="0.3">
      <c r="A72" t="s">
        <v>158</v>
      </c>
      <c r="B72">
        <v>237980.2905</v>
      </c>
      <c r="C72">
        <v>10</v>
      </c>
      <c r="AA72">
        <v>0</v>
      </c>
    </row>
    <row r="73" spans="1:33" x14ac:dyDescent="0.3">
      <c r="A73" t="s">
        <v>159</v>
      </c>
      <c r="B73">
        <v>49028.599399999999</v>
      </c>
      <c r="C73">
        <v>10</v>
      </c>
      <c r="AA73">
        <v>0</v>
      </c>
    </row>
    <row r="74" spans="1:33" x14ac:dyDescent="0.3">
      <c r="A74" t="s">
        <v>160</v>
      </c>
      <c r="B74">
        <v>28486.1096</v>
      </c>
      <c r="C74">
        <v>9</v>
      </c>
      <c r="AA74">
        <v>0</v>
      </c>
    </row>
    <row r="75" spans="1:33" x14ac:dyDescent="0.3">
      <c r="A75" t="s">
        <v>161</v>
      </c>
      <c r="B75">
        <v>132558.92019999999</v>
      </c>
      <c r="C75">
        <v>9</v>
      </c>
      <c r="AA75">
        <v>0</v>
      </c>
    </row>
    <row r="76" spans="1:33" x14ac:dyDescent="0.3">
      <c r="A76" t="s">
        <v>162</v>
      </c>
      <c r="B76">
        <v>582253.36219999997</v>
      </c>
      <c r="C76">
        <v>9</v>
      </c>
      <c r="M76">
        <v>198</v>
      </c>
      <c r="S76">
        <v>0.03</v>
      </c>
      <c r="AA76">
        <v>5.9999999999999995E-4</v>
      </c>
    </row>
    <row r="77" spans="1:33" x14ac:dyDescent="0.3">
      <c r="A77" t="s">
        <v>163</v>
      </c>
      <c r="B77">
        <v>229961.57</v>
      </c>
      <c r="C77">
        <v>9</v>
      </c>
      <c r="T77">
        <v>2.2999999999999998</v>
      </c>
      <c r="AA77">
        <v>0</v>
      </c>
      <c r="AC77">
        <v>0.22</v>
      </c>
      <c r="AF77">
        <v>2</v>
      </c>
    </row>
    <row r="78" spans="1:33" x14ac:dyDescent="0.3">
      <c r="A78" t="s">
        <v>164</v>
      </c>
      <c r="B78">
        <v>95877.653529999996</v>
      </c>
      <c r="C78">
        <v>9</v>
      </c>
      <c r="AA78">
        <v>0</v>
      </c>
    </row>
    <row r="79" spans="1:33" x14ac:dyDescent="0.3">
      <c r="A79" t="s">
        <v>165</v>
      </c>
      <c r="B79">
        <v>196761.33480000001</v>
      </c>
      <c r="C79">
        <v>9</v>
      </c>
      <c r="M79">
        <v>348</v>
      </c>
      <c r="S79">
        <v>0.05</v>
      </c>
      <c r="AA79">
        <v>1E-3</v>
      </c>
    </row>
    <row r="80" spans="1:33" x14ac:dyDescent="0.3">
      <c r="A80" t="s">
        <v>166</v>
      </c>
      <c r="B80">
        <v>72322.220449999993</v>
      </c>
      <c r="C80">
        <v>9</v>
      </c>
      <c r="M80">
        <v>110</v>
      </c>
      <c r="S80">
        <v>0.03</v>
      </c>
      <c r="AA80">
        <v>5.9999999999999995E-4</v>
      </c>
    </row>
    <row r="81" spans="1:42" x14ac:dyDescent="0.3">
      <c r="A81" t="s">
        <v>167</v>
      </c>
      <c r="B81">
        <v>264715.50579999998</v>
      </c>
      <c r="C81">
        <v>8</v>
      </c>
      <c r="V81">
        <v>4600</v>
      </c>
      <c r="AA81">
        <v>0</v>
      </c>
    </row>
    <row r="82" spans="1:42" x14ac:dyDescent="0.3">
      <c r="A82" t="s">
        <v>168</v>
      </c>
      <c r="B82">
        <v>786095.10519999999</v>
      </c>
      <c r="C82">
        <v>8</v>
      </c>
      <c r="M82">
        <v>1609</v>
      </c>
      <c r="S82">
        <v>0.09</v>
      </c>
      <c r="AA82">
        <v>1.8E-3</v>
      </c>
      <c r="AE82">
        <v>2.4E-2</v>
      </c>
      <c r="AH82">
        <v>3.4</v>
      </c>
    </row>
    <row r="83" spans="1:42" x14ac:dyDescent="0.3">
      <c r="A83" t="s">
        <v>169</v>
      </c>
      <c r="B83">
        <v>667871.13049999997</v>
      </c>
      <c r="C83">
        <v>8</v>
      </c>
      <c r="T83">
        <v>54</v>
      </c>
      <c r="V83">
        <v>210</v>
      </c>
      <c r="AA83">
        <v>0</v>
      </c>
      <c r="AC83">
        <v>4.5999999999999996</v>
      </c>
    </row>
    <row r="84" spans="1:42" x14ac:dyDescent="0.3">
      <c r="A84" t="s">
        <v>170</v>
      </c>
      <c r="B84">
        <v>18920.191910000001</v>
      </c>
      <c r="C84">
        <v>8</v>
      </c>
      <c r="L84">
        <v>230</v>
      </c>
      <c r="AA84">
        <v>0</v>
      </c>
      <c r="AP84" s="2">
        <v>3</v>
      </c>
    </row>
    <row r="85" spans="1:42" x14ac:dyDescent="0.3">
      <c r="A85" t="s">
        <v>171</v>
      </c>
      <c r="B85">
        <v>311947.37910000002</v>
      </c>
      <c r="C85">
        <v>8</v>
      </c>
      <c r="E85">
        <v>400</v>
      </c>
      <c r="F85">
        <v>590</v>
      </c>
      <c r="G85">
        <v>0.23</v>
      </c>
      <c r="J85">
        <v>9.5000000000000001E-2</v>
      </c>
      <c r="Q85">
        <v>1.3</v>
      </c>
      <c r="Y85">
        <v>50</v>
      </c>
      <c r="AA85">
        <v>0</v>
      </c>
      <c r="AN85" s="2">
        <v>6.3E-3</v>
      </c>
    </row>
    <row r="86" spans="1:42" x14ac:dyDescent="0.3">
      <c r="A86" t="s">
        <v>172</v>
      </c>
      <c r="B86">
        <v>244575.3933</v>
      </c>
      <c r="C86">
        <v>8</v>
      </c>
      <c r="AA86">
        <v>0</v>
      </c>
    </row>
    <row r="87" spans="1:42" x14ac:dyDescent="0.3">
      <c r="A87" t="s">
        <v>173</v>
      </c>
      <c r="B87">
        <v>86333.421719999998</v>
      </c>
      <c r="C87">
        <v>7</v>
      </c>
      <c r="AA87">
        <v>0</v>
      </c>
    </row>
    <row r="88" spans="1:42" x14ac:dyDescent="0.3">
      <c r="A88" t="s">
        <v>174</v>
      </c>
      <c r="B88">
        <v>78888.465920000002</v>
      </c>
      <c r="C88">
        <v>7</v>
      </c>
      <c r="AA88">
        <v>0</v>
      </c>
    </row>
    <row r="89" spans="1:42" x14ac:dyDescent="0.3">
      <c r="A89" t="s">
        <v>175</v>
      </c>
      <c r="B89">
        <v>591574.76329999999</v>
      </c>
      <c r="C89">
        <v>7</v>
      </c>
      <c r="M89">
        <v>320</v>
      </c>
      <c r="S89">
        <v>0.03</v>
      </c>
      <c r="AA89">
        <v>5.9999999999999995E-4</v>
      </c>
      <c r="AE89">
        <v>1E-3</v>
      </c>
      <c r="AP89" s="2">
        <v>4</v>
      </c>
    </row>
    <row r="90" spans="1:42" x14ac:dyDescent="0.3">
      <c r="A90" t="s">
        <v>176</v>
      </c>
      <c r="B90">
        <v>118061.8165</v>
      </c>
      <c r="C90">
        <v>7</v>
      </c>
      <c r="AA90">
        <v>0</v>
      </c>
    </row>
    <row r="91" spans="1:42" x14ac:dyDescent="0.3">
      <c r="A91" t="s">
        <v>177</v>
      </c>
      <c r="B91">
        <v>341573.59259999997</v>
      </c>
      <c r="C91">
        <v>7</v>
      </c>
      <c r="AA91">
        <v>0</v>
      </c>
    </row>
    <row r="92" spans="1:42" x14ac:dyDescent="0.3">
      <c r="A92" t="s">
        <v>178</v>
      </c>
      <c r="B92">
        <v>51222.360520000002</v>
      </c>
      <c r="C92">
        <v>6</v>
      </c>
      <c r="AA92">
        <v>0</v>
      </c>
    </row>
    <row r="93" spans="1:42" x14ac:dyDescent="0.3">
      <c r="A93" t="s">
        <v>179</v>
      </c>
      <c r="B93">
        <v>20579.644479999999</v>
      </c>
      <c r="C93">
        <v>6</v>
      </c>
      <c r="AA93">
        <v>0</v>
      </c>
    </row>
    <row r="94" spans="1:42" x14ac:dyDescent="0.3">
      <c r="A94" t="s">
        <v>180</v>
      </c>
      <c r="B94">
        <v>122098.5233</v>
      </c>
      <c r="C94">
        <v>6</v>
      </c>
      <c r="AA94">
        <v>0</v>
      </c>
    </row>
    <row r="95" spans="1:42" x14ac:dyDescent="0.3">
      <c r="A95" t="s">
        <v>181</v>
      </c>
      <c r="B95">
        <v>1127581.3799999999</v>
      </c>
      <c r="C95">
        <v>6</v>
      </c>
      <c r="AA95">
        <v>0</v>
      </c>
    </row>
    <row r="96" spans="1:42" x14ac:dyDescent="0.3">
      <c r="A96" t="s">
        <v>182</v>
      </c>
      <c r="B96">
        <v>69797.604590000003</v>
      </c>
      <c r="C96">
        <v>6</v>
      </c>
      <c r="V96">
        <v>160</v>
      </c>
      <c r="AA96">
        <v>0</v>
      </c>
    </row>
    <row r="97" spans="1:40" x14ac:dyDescent="0.3">
      <c r="A97" t="s">
        <v>183</v>
      </c>
      <c r="B97">
        <v>876261.69189999998</v>
      </c>
      <c r="C97">
        <v>6</v>
      </c>
      <c r="AA97">
        <v>0</v>
      </c>
      <c r="AC97">
        <v>0.08</v>
      </c>
    </row>
    <row r="98" spans="1:40" x14ac:dyDescent="0.3">
      <c r="A98" t="s">
        <v>184</v>
      </c>
      <c r="B98">
        <v>99084.530549999996</v>
      </c>
      <c r="C98">
        <v>6</v>
      </c>
      <c r="F98">
        <v>620</v>
      </c>
      <c r="G98">
        <v>4</v>
      </c>
      <c r="O98">
        <v>0.2</v>
      </c>
      <c r="R98">
        <v>0.4</v>
      </c>
      <c r="AA98">
        <v>0</v>
      </c>
      <c r="AF98">
        <v>0.85</v>
      </c>
      <c r="AK98" s="2">
        <v>2E-3</v>
      </c>
      <c r="AN98" s="2">
        <v>2.8E-3</v>
      </c>
    </row>
    <row r="99" spans="1:40" x14ac:dyDescent="0.3">
      <c r="A99" t="s">
        <v>185</v>
      </c>
      <c r="B99">
        <v>2503825.3739999998</v>
      </c>
      <c r="C99">
        <v>6</v>
      </c>
      <c r="AA99">
        <v>0</v>
      </c>
    </row>
    <row r="100" spans="1:40" x14ac:dyDescent="0.3">
      <c r="A100" t="s">
        <v>186</v>
      </c>
      <c r="B100">
        <v>146101.23730000001</v>
      </c>
      <c r="C100">
        <v>6</v>
      </c>
      <c r="AA100">
        <v>0</v>
      </c>
    </row>
    <row r="101" spans="1:40" x14ac:dyDescent="0.3">
      <c r="A101" t="s">
        <v>187</v>
      </c>
      <c r="B101">
        <v>515106.67129999999</v>
      </c>
      <c r="C101">
        <v>6</v>
      </c>
      <c r="AA101">
        <v>0</v>
      </c>
    </row>
    <row r="102" spans="1:40" x14ac:dyDescent="0.3">
      <c r="A102" t="s">
        <v>188</v>
      </c>
      <c r="B102">
        <v>357241.7929</v>
      </c>
      <c r="C102">
        <v>5</v>
      </c>
      <c r="F102">
        <v>610</v>
      </c>
      <c r="G102">
        <v>0.75</v>
      </c>
      <c r="J102">
        <v>0.5</v>
      </c>
      <c r="O102">
        <v>1.7999999999999999E-2</v>
      </c>
      <c r="Z102">
        <v>60</v>
      </c>
      <c r="AA102">
        <v>0</v>
      </c>
      <c r="AD102">
        <v>0.39</v>
      </c>
      <c r="AG102">
        <v>1</v>
      </c>
    </row>
    <row r="103" spans="1:40" x14ac:dyDescent="0.3">
      <c r="A103" t="s">
        <v>189</v>
      </c>
      <c r="B103">
        <v>27069.399379999999</v>
      </c>
      <c r="C103">
        <v>5</v>
      </c>
      <c r="AA103">
        <v>0</v>
      </c>
    </row>
    <row r="104" spans="1:40" x14ac:dyDescent="0.3">
      <c r="A104" t="s">
        <v>190</v>
      </c>
      <c r="B104">
        <v>301631.0074</v>
      </c>
      <c r="C104">
        <v>5</v>
      </c>
      <c r="AA104">
        <v>0</v>
      </c>
    </row>
    <row r="105" spans="1:40" x14ac:dyDescent="0.3">
      <c r="A105" t="s">
        <v>191</v>
      </c>
      <c r="B105">
        <v>641383.42279999994</v>
      </c>
      <c r="C105">
        <v>4</v>
      </c>
      <c r="AA105">
        <v>0</v>
      </c>
    </row>
    <row r="106" spans="1:40" x14ac:dyDescent="0.3">
      <c r="A106" t="s">
        <v>192</v>
      </c>
      <c r="B106">
        <v>83964.312749999997</v>
      </c>
      <c r="C106">
        <v>4</v>
      </c>
      <c r="U106">
        <v>0.91</v>
      </c>
      <c r="AA106">
        <v>0</v>
      </c>
    </row>
    <row r="107" spans="1:40" x14ac:dyDescent="0.3">
      <c r="A107" t="s">
        <v>193</v>
      </c>
      <c r="B107">
        <v>83266.550340000002</v>
      </c>
      <c r="C107">
        <v>4</v>
      </c>
      <c r="AA107">
        <v>0</v>
      </c>
    </row>
    <row r="108" spans="1:40" x14ac:dyDescent="0.3">
      <c r="A108" t="s">
        <v>194</v>
      </c>
      <c r="B108">
        <v>93118.726250000007</v>
      </c>
      <c r="C108">
        <v>4</v>
      </c>
      <c r="AA108">
        <v>0</v>
      </c>
    </row>
    <row r="109" spans="1:40" x14ac:dyDescent="0.3">
      <c r="A109" t="s">
        <v>195</v>
      </c>
      <c r="B109">
        <v>25423.85844</v>
      </c>
      <c r="C109">
        <v>4</v>
      </c>
      <c r="AA109">
        <v>0</v>
      </c>
    </row>
    <row r="110" spans="1:40" x14ac:dyDescent="0.3">
      <c r="A110" t="s">
        <v>196</v>
      </c>
      <c r="B110">
        <v>307990.98359999998</v>
      </c>
      <c r="C110">
        <v>4</v>
      </c>
      <c r="AA110">
        <v>0</v>
      </c>
    </row>
    <row r="111" spans="1:40" x14ac:dyDescent="0.3">
      <c r="A111" t="s">
        <v>197</v>
      </c>
      <c r="B111">
        <v>28723.753570000001</v>
      </c>
      <c r="C111">
        <v>4</v>
      </c>
      <c r="AA111">
        <v>0</v>
      </c>
    </row>
    <row r="112" spans="1:40" x14ac:dyDescent="0.3">
      <c r="A112" t="s">
        <v>198</v>
      </c>
      <c r="B112">
        <v>26948.634320000001</v>
      </c>
      <c r="C112">
        <v>3</v>
      </c>
      <c r="X112">
        <v>3.5999999999999997E-2</v>
      </c>
      <c r="AA112">
        <v>0</v>
      </c>
    </row>
    <row r="113" spans="1:31" x14ac:dyDescent="0.3">
      <c r="A113" t="s">
        <v>199</v>
      </c>
      <c r="B113">
        <v>548780.48419999995</v>
      </c>
      <c r="C113">
        <v>3</v>
      </c>
      <c r="O113">
        <v>1.2E-2</v>
      </c>
      <c r="Y113">
        <v>20</v>
      </c>
      <c r="Z113">
        <v>90</v>
      </c>
      <c r="AA113">
        <v>0</v>
      </c>
    </row>
    <row r="114" spans="1:31" x14ac:dyDescent="0.3">
      <c r="A114" t="s">
        <v>200</v>
      </c>
      <c r="B114">
        <v>11025.30539</v>
      </c>
      <c r="C114">
        <v>3</v>
      </c>
      <c r="AA114">
        <v>0</v>
      </c>
    </row>
    <row r="115" spans="1:31" x14ac:dyDescent="0.3">
      <c r="A115" t="s">
        <v>201</v>
      </c>
      <c r="B115">
        <v>122469.02619999999</v>
      </c>
      <c r="C115">
        <v>3</v>
      </c>
      <c r="R115">
        <v>0.7</v>
      </c>
      <c r="U115">
        <v>1.7</v>
      </c>
      <c r="AA115">
        <v>0</v>
      </c>
    </row>
    <row r="116" spans="1:31" x14ac:dyDescent="0.3">
      <c r="A116" t="s">
        <v>202</v>
      </c>
      <c r="B116">
        <v>178158.20420000001</v>
      </c>
      <c r="C116">
        <v>3</v>
      </c>
      <c r="AA116">
        <v>0</v>
      </c>
    </row>
    <row r="117" spans="1:31" x14ac:dyDescent="0.3">
      <c r="A117" t="s">
        <v>203</v>
      </c>
      <c r="B117">
        <v>419899.88819999999</v>
      </c>
      <c r="C117">
        <v>3</v>
      </c>
      <c r="AA117">
        <v>0</v>
      </c>
    </row>
    <row r="118" spans="1:31" x14ac:dyDescent="0.3">
      <c r="A118" t="s">
        <v>204</v>
      </c>
      <c r="B118">
        <v>1247356.6129999999</v>
      </c>
      <c r="C118">
        <v>2</v>
      </c>
      <c r="AA118">
        <v>0</v>
      </c>
    </row>
    <row r="119" spans="1:31" x14ac:dyDescent="0.3">
      <c r="A119" t="s">
        <v>205</v>
      </c>
      <c r="B119">
        <v>50992.523840000002</v>
      </c>
      <c r="C119">
        <v>2</v>
      </c>
      <c r="AA119">
        <v>0</v>
      </c>
    </row>
    <row r="120" spans="1:31" x14ac:dyDescent="0.3">
      <c r="A120" t="s">
        <v>206</v>
      </c>
      <c r="B120">
        <v>181380.20360000001</v>
      </c>
      <c r="C120">
        <v>2</v>
      </c>
      <c r="AA120">
        <v>0</v>
      </c>
    </row>
    <row r="121" spans="1:31" x14ac:dyDescent="0.3">
      <c r="A121" t="s">
        <v>207</v>
      </c>
      <c r="B121">
        <v>620200.15509999997</v>
      </c>
      <c r="C121">
        <v>2</v>
      </c>
      <c r="AA121">
        <v>0</v>
      </c>
    </row>
    <row r="122" spans="1:31" x14ac:dyDescent="0.3">
      <c r="A122" t="s">
        <v>208</v>
      </c>
      <c r="B122">
        <v>1269963.0900000001</v>
      </c>
      <c r="C122">
        <v>2</v>
      </c>
      <c r="AA122">
        <v>0</v>
      </c>
    </row>
    <row r="123" spans="1:31" x14ac:dyDescent="0.3">
      <c r="A123" t="s">
        <v>209</v>
      </c>
      <c r="B123">
        <v>399381.08199999999</v>
      </c>
      <c r="C123">
        <v>2</v>
      </c>
      <c r="AA123">
        <v>0</v>
      </c>
    </row>
    <row r="124" spans="1:31" x14ac:dyDescent="0.3">
      <c r="A124" t="s">
        <v>210</v>
      </c>
      <c r="B124">
        <v>66533.05442</v>
      </c>
      <c r="C124">
        <v>2</v>
      </c>
      <c r="AA124">
        <v>0</v>
      </c>
    </row>
    <row r="125" spans="1:31" x14ac:dyDescent="0.3">
      <c r="A125" t="s">
        <v>211</v>
      </c>
      <c r="B125">
        <v>57038.151839999999</v>
      </c>
      <c r="C125">
        <v>2</v>
      </c>
      <c r="AA125">
        <v>0</v>
      </c>
    </row>
    <row r="126" spans="1:31" x14ac:dyDescent="0.3">
      <c r="A126" t="s">
        <v>212</v>
      </c>
      <c r="B126">
        <v>155176.57250000001</v>
      </c>
      <c r="C126">
        <v>2</v>
      </c>
      <c r="AA126">
        <v>0</v>
      </c>
    </row>
    <row r="127" spans="1:31" x14ac:dyDescent="0.3">
      <c r="A127" t="s">
        <v>213</v>
      </c>
      <c r="B127">
        <v>241278.0742</v>
      </c>
      <c r="C127">
        <v>2</v>
      </c>
      <c r="AA127">
        <v>0</v>
      </c>
      <c r="AE127">
        <v>1E-3</v>
      </c>
    </row>
    <row r="128" spans="1:31" x14ac:dyDescent="0.3">
      <c r="A128" t="s">
        <v>214</v>
      </c>
      <c r="B128">
        <v>181.60690690000001</v>
      </c>
      <c r="C128">
        <v>1</v>
      </c>
      <c r="AA128">
        <v>0</v>
      </c>
    </row>
    <row r="129" spans="1:46" x14ac:dyDescent="0.3">
      <c r="A129" t="s">
        <v>215</v>
      </c>
      <c r="B129">
        <v>115542.40029999999</v>
      </c>
      <c r="C129">
        <v>1</v>
      </c>
      <c r="AA129">
        <v>0</v>
      </c>
    </row>
    <row r="130" spans="1:46" x14ac:dyDescent="0.3">
      <c r="A130" t="s">
        <v>216</v>
      </c>
      <c r="B130">
        <v>9012.62673</v>
      </c>
      <c r="C130">
        <v>1</v>
      </c>
      <c r="AA130">
        <v>0</v>
      </c>
    </row>
    <row r="131" spans="1:46" x14ac:dyDescent="0.3">
      <c r="A131" t="s">
        <v>217</v>
      </c>
      <c r="B131">
        <v>373665.2231</v>
      </c>
      <c r="C131">
        <v>1</v>
      </c>
      <c r="F131">
        <v>1500</v>
      </c>
      <c r="G131">
        <v>1.8</v>
      </c>
      <c r="I131">
        <v>7.4999999999999997E-2</v>
      </c>
      <c r="J131">
        <v>0.78</v>
      </c>
      <c r="O131">
        <v>6.4000000000000001E-2</v>
      </c>
      <c r="AA131">
        <v>0</v>
      </c>
      <c r="AF131">
        <v>0.5</v>
      </c>
      <c r="AG131">
        <v>0.04</v>
      </c>
      <c r="AK131" s="2">
        <v>3.0000000000000001E-3</v>
      </c>
    </row>
    <row r="132" spans="1:46" x14ac:dyDescent="0.3">
      <c r="A132" t="s">
        <v>218</v>
      </c>
      <c r="B132">
        <v>13780.27197</v>
      </c>
      <c r="C132">
        <v>1</v>
      </c>
      <c r="AA132">
        <v>0</v>
      </c>
    </row>
    <row r="133" spans="1:46" x14ac:dyDescent="0.3">
      <c r="A133" t="s">
        <v>219</v>
      </c>
      <c r="B133">
        <v>147045.81599999999</v>
      </c>
      <c r="C133">
        <v>1</v>
      </c>
      <c r="Y133">
        <v>80</v>
      </c>
      <c r="AA133">
        <v>0</v>
      </c>
    </row>
    <row r="134" spans="1:46" x14ac:dyDescent="0.3">
      <c r="A134" t="s">
        <v>220</v>
      </c>
      <c r="B134">
        <v>9018.2239699999991</v>
      </c>
      <c r="C134">
        <v>1</v>
      </c>
      <c r="AA134">
        <v>0</v>
      </c>
    </row>
    <row r="135" spans="1:46" x14ac:dyDescent="0.3">
      <c r="A135" t="s">
        <v>221</v>
      </c>
      <c r="B135">
        <v>25205.711169999999</v>
      </c>
      <c r="C135">
        <v>1</v>
      </c>
      <c r="T135">
        <v>3.8</v>
      </c>
      <c r="U135">
        <v>1.4</v>
      </c>
      <c r="X135">
        <v>0.52</v>
      </c>
      <c r="AA135">
        <v>0</v>
      </c>
      <c r="AE135">
        <v>1E-3</v>
      </c>
      <c r="AS135">
        <v>0.19</v>
      </c>
    </row>
    <row r="136" spans="1:46" x14ac:dyDescent="0.3">
      <c r="A136" t="s">
        <v>222</v>
      </c>
      <c r="B136">
        <v>17289.528350000001</v>
      </c>
      <c r="C136">
        <v>1</v>
      </c>
      <c r="AA136">
        <v>0</v>
      </c>
    </row>
    <row r="137" spans="1:46" x14ac:dyDescent="0.3">
      <c r="A137" t="s">
        <v>227</v>
      </c>
      <c r="AT137">
        <v>22</v>
      </c>
    </row>
    <row r="139" spans="1:46" x14ac:dyDescent="0.3">
      <c r="D139" t="str">
        <f>D4</f>
        <v>Pb (Mines)</v>
      </c>
      <c r="E139" t="str">
        <f t="shared" ref="E139:AI139" si="0">E4</f>
        <v>Cu (Mines)</v>
      </c>
      <c r="F139" t="str">
        <f t="shared" si="0"/>
        <v>Cu (Refinery)</v>
      </c>
      <c r="G139" t="str">
        <f t="shared" si="0"/>
        <v>Cd (Refinery)</v>
      </c>
      <c r="H139" t="str">
        <f t="shared" si="0"/>
        <v>Zn (Mines)</v>
      </c>
      <c r="I139" t="str">
        <f t="shared" si="0"/>
        <v>Te (Refinery)</v>
      </c>
      <c r="J139" t="str">
        <f t="shared" si="0"/>
        <v>Se (Refinery)</v>
      </c>
      <c r="K139" t="str">
        <f t="shared" si="0"/>
        <v>Au (Mines)</v>
      </c>
      <c r="L139" t="str">
        <f t="shared" si="0"/>
        <v>Ni (Mines)</v>
      </c>
      <c r="M139" t="str">
        <f t="shared" si="0"/>
        <v>Ti (Mines)</v>
      </c>
      <c r="N139" t="str">
        <f t="shared" si="0"/>
        <v>Fe (Mines)</v>
      </c>
      <c r="O139" t="str">
        <f t="shared" si="0"/>
        <v>In (Refinery)</v>
      </c>
      <c r="P139" t="str">
        <f t="shared" si="0"/>
        <v>Cr (Mines)</v>
      </c>
      <c r="Q139" t="str">
        <f t="shared" si="0"/>
        <v>Ag (Mines)</v>
      </c>
      <c r="R139" t="str">
        <f t="shared" si="0"/>
        <v>Mo (Mines)</v>
      </c>
      <c r="S139" t="str">
        <f t="shared" si="0"/>
        <v>Zr (Mines)</v>
      </c>
      <c r="T139" t="str">
        <f t="shared" si="0"/>
        <v>Sn (Mines)</v>
      </c>
      <c r="U139" t="str">
        <f t="shared" si="0"/>
        <v>W (Mines)</v>
      </c>
      <c r="V139" t="str">
        <f t="shared" si="0"/>
        <v>Mn (Mines)</v>
      </c>
      <c r="W139" t="str">
        <f t="shared" si="0"/>
        <v>Al (Smelter)</v>
      </c>
      <c r="X139" t="str">
        <f t="shared" si="0"/>
        <v>Ta (Mines)</v>
      </c>
      <c r="Y139" t="str">
        <f t="shared" si="0"/>
        <v>Si (Mines Ferrosilicon)</v>
      </c>
      <c r="Z139" t="str">
        <f t="shared" si="0"/>
        <v>Si (Mines metal)</v>
      </c>
      <c r="AA139" t="str">
        <f t="shared" si="0"/>
        <v>Hf (= 1/50 Zr, source: BRGM)</v>
      </c>
      <c r="AB139" t="str">
        <f t="shared" si="0"/>
        <v>Pd (Mines)</v>
      </c>
      <c r="AC139" t="str">
        <f t="shared" si="0"/>
        <v>Sb (Mines)</v>
      </c>
      <c r="AD139" t="str">
        <f t="shared" si="0"/>
        <v>Ge (no data)</v>
      </c>
      <c r="AE139" t="str">
        <f t="shared" si="0"/>
        <v>Be (Mines)</v>
      </c>
      <c r="AF139" t="str">
        <f t="shared" si="0"/>
        <v>Bi (Refinery)</v>
      </c>
      <c r="AG139" t="str">
        <f t="shared" si="0"/>
        <v>As (Production AsO3)</v>
      </c>
      <c r="AH139" t="str">
        <f t="shared" si="0"/>
        <v>Li (Mines)</v>
      </c>
      <c r="AI139" t="str">
        <f t="shared" si="0"/>
        <v>Pt (Mines)</v>
      </c>
      <c r="AJ139" t="str">
        <f>AJ3</f>
        <v>Sc</v>
      </c>
      <c r="AK139" t="str">
        <f t="shared" ref="AK139:AT139" si="1">AK3</f>
        <v>Ga</v>
      </c>
      <c r="AL139" t="str">
        <f t="shared" si="1"/>
        <v>Ru</v>
      </c>
      <c r="AM139" t="str">
        <f t="shared" si="1"/>
        <v>Rh</v>
      </c>
      <c r="AN139" t="str">
        <f t="shared" si="1"/>
        <v>Re</v>
      </c>
      <c r="AO139" t="str">
        <f t="shared" si="1"/>
        <v>Ir</v>
      </c>
      <c r="AP139" t="str">
        <f t="shared" si="1"/>
        <v>Co</v>
      </c>
      <c r="AQ139" t="str">
        <f t="shared" si="1"/>
        <v>V</v>
      </c>
      <c r="AR139" t="str">
        <f t="shared" si="1"/>
        <v>Y</v>
      </c>
      <c r="AS139" t="str">
        <f t="shared" si="1"/>
        <v>Nb</v>
      </c>
      <c r="AT139" t="str">
        <f t="shared" si="1"/>
        <v>Mg</v>
      </c>
    </row>
    <row r="140" spans="1:46" x14ac:dyDescent="0.3">
      <c r="A140" t="s">
        <v>223</v>
      </c>
      <c r="D140">
        <v>610</v>
      </c>
      <c r="E140">
        <v>3100</v>
      </c>
      <c r="F140">
        <v>2900</v>
      </c>
      <c r="H140">
        <v>1800</v>
      </c>
      <c r="J140">
        <v>1.4999999999999999E-2</v>
      </c>
      <c r="K140">
        <v>0.7</v>
      </c>
      <c r="L140">
        <v>380</v>
      </c>
      <c r="M140">
        <v>120</v>
      </c>
      <c r="N140">
        <v>27000</v>
      </c>
      <c r="P140">
        <v>5200</v>
      </c>
      <c r="Q140">
        <v>3</v>
      </c>
      <c r="S140">
        <v>0.14000000000000001</v>
      </c>
      <c r="T140">
        <v>1.3</v>
      </c>
      <c r="U140">
        <v>1.1000000000000001</v>
      </c>
      <c r="V140">
        <v>330</v>
      </c>
      <c r="W140">
        <v>7000</v>
      </c>
      <c r="X140">
        <v>0.26</v>
      </c>
      <c r="Y140">
        <v>100</v>
      </c>
      <c r="Z140">
        <v>80</v>
      </c>
      <c r="AA140">
        <v>2.8000000000000004E-3</v>
      </c>
      <c r="AB140">
        <v>2.7000000000000001E-3</v>
      </c>
      <c r="AI140">
        <v>4.5999999999999999E-3</v>
      </c>
      <c r="AP140" s="2">
        <v>6.6</v>
      </c>
      <c r="AS140">
        <v>0.15</v>
      </c>
    </row>
    <row r="141" spans="1:46" x14ac:dyDescent="0.3">
      <c r="A141" t="s">
        <v>224</v>
      </c>
      <c r="D141">
        <f>SUM(D5:D137)+D140</f>
        <v>4490</v>
      </c>
      <c r="E141">
        <f>SUM(E5:E137)+E140</f>
        <v>21550</v>
      </c>
      <c r="F141">
        <f>SUM(F5:F137)+F140</f>
        <v>26670</v>
      </c>
      <c r="G141">
        <f>SUM(G5:G137)+G140</f>
        <v>38.229999999999997</v>
      </c>
      <c r="H141">
        <f t="shared" ref="H141:AS141" si="2">SUM(H5:H137)+H140</f>
        <v>12180</v>
      </c>
      <c r="I141">
        <f t="shared" si="2"/>
        <v>0.64300000000000002</v>
      </c>
      <c r="J141">
        <f t="shared" si="2"/>
        <v>3.5989999999999998</v>
      </c>
      <c r="K141">
        <f t="shared" si="2"/>
        <v>3.0400000000000009</v>
      </c>
      <c r="L141">
        <f t="shared" si="2"/>
        <v>3566</v>
      </c>
      <c r="M141">
        <f t="shared" si="2"/>
        <v>9162</v>
      </c>
      <c r="N141">
        <f t="shared" si="2"/>
        <v>1561500</v>
      </c>
      <c r="O141">
        <f t="shared" si="2"/>
        <v>0.9870000000000001</v>
      </c>
      <c r="P141">
        <f t="shared" si="2"/>
        <v>41400</v>
      </c>
      <c r="Q141">
        <f t="shared" si="2"/>
        <v>25.79</v>
      </c>
      <c r="R141">
        <f t="shared" si="2"/>
        <v>262.59999999999991</v>
      </c>
      <c r="S141">
        <f t="shared" si="2"/>
        <v>1.6000000000000005</v>
      </c>
      <c r="T141">
        <f t="shared" si="2"/>
        <v>290.70000000000005</v>
      </c>
      <c r="U141">
        <f t="shared" si="2"/>
        <v>77.91</v>
      </c>
      <c r="V141">
        <f t="shared" si="2"/>
        <v>19890</v>
      </c>
      <c r="W141">
        <f t="shared" si="2"/>
        <v>67960</v>
      </c>
      <c r="X141">
        <f t="shared" si="2"/>
        <v>2.4080000000000004</v>
      </c>
      <c r="Y141">
        <f t="shared" si="2"/>
        <v>5222</v>
      </c>
      <c r="Z141">
        <f t="shared" si="2"/>
        <v>3761</v>
      </c>
      <c r="AA141">
        <f t="shared" si="2"/>
        <v>3.2000000000000001E-2</v>
      </c>
      <c r="AB141">
        <f t="shared" si="2"/>
        <v>0.20649999999999999</v>
      </c>
      <c r="AC141">
        <f t="shared" si="2"/>
        <v>83.315999999999988</v>
      </c>
      <c r="AD141">
        <f t="shared" si="2"/>
        <v>1</v>
      </c>
      <c r="AE141">
        <f t="shared" si="2"/>
        <v>0.33100000000000002</v>
      </c>
      <c r="AF141">
        <f t="shared" si="2"/>
        <v>19.600000000000001</v>
      </c>
      <c r="AG141">
        <f>SUM(AG5:AG137)+AG140</f>
        <v>60.24</v>
      </c>
      <c r="AH141">
        <f t="shared" si="2"/>
        <v>184.68</v>
      </c>
      <c r="AI141">
        <f t="shared" si="2"/>
        <v>0.17499999999999996</v>
      </c>
      <c r="AJ141">
        <f t="shared" si="2"/>
        <v>1.5000000000000003E-2</v>
      </c>
      <c r="AK141">
        <f>SUM(AK5:AK137)+AK140</f>
        <v>0.61</v>
      </c>
      <c r="AL141">
        <f t="shared" si="2"/>
        <v>1</v>
      </c>
      <c r="AM141">
        <f t="shared" si="2"/>
        <v>2.2800000000000001E-2</v>
      </c>
      <c r="AN141">
        <f t="shared" si="2"/>
        <v>5.638E-2</v>
      </c>
      <c r="AO141">
        <f t="shared" si="2"/>
        <v>8.0099820000000006E-3</v>
      </c>
      <c r="AP141">
        <f t="shared" si="2"/>
        <v>229.3</v>
      </c>
      <c r="AQ141">
        <f t="shared" si="2"/>
        <v>103.5</v>
      </c>
      <c r="AR141">
        <f t="shared" si="2"/>
        <v>7.0929999999999991</v>
      </c>
      <c r="AS141">
        <f>SUM(AS5:AS137)+AS140</f>
        <v>83.320000000000007</v>
      </c>
      <c r="AT141">
        <f>SUM(AT5:AT137)+AT140</f>
        <v>939</v>
      </c>
    </row>
    <row r="143" spans="1:46" x14ac:dyDescent="0.3">
      <c r="A143" t="s">
        <v>49</v>
      </c>
      <c r="D143">
        <f>SUMSQ(D5:D137)/(D141^2)</f>
        <v>0.20452279502581833</v>
      </c>
      <c r="E143">
        <f t="shared" ref="E143:AT143" si="3">SUMSQ(E5:E137)/(E141^2)</f>
        <v>9.9461781536490435E-2</v>
      </c>
      <c r="F143">
        <f t="shared" si="3"/>
        <v>0.22188410363215283</v>
      </c>
      <c r="G143">
        <f t="shared" si="3"/>
        <v>0.10174926613010217</v>
      </c>
      <c r="H143">
        <f t="shared" si="3"/>
        <v>0.14488879182271402</v>
      </c>
      <c r="I143">
        <f t="shared" si="3"/>
        <v>0.4778025826643672</v>
      </c>
      <c r="J143">
        <f t="shared" si="3"/>
        <v>0.25302897805656088</v>
      </c>
      <c r="K143">
        <f t="shared" si="3"/>
        <v>5.3237534626038759E-2</v>
      </c>
      <c r="L143">
        <f t="shared" si="3"/>
        <v>0.28083595646425752</v>
      </c>
      <c r="M143">
        <f t="shared" si="3"/>
        <v>0.17396406510171447</v>
      </c>
      <c r="N143">
        <f t="shared" si="3"/>
        <v>0.20343699339975921</v>
      </c>
      <c r="O143">
        <f t="shared" si="3"/>
        <v>0.48088062748865951</v>
      </c>
      <c r="P143">
        <f t="shared" si="3"/>
        <v>0.24366963056314034</v>
      </c>
      <c r="Q143">
        <f t="shared" si="3"/>
        <v>0.11033174109914225</v>
      </c>
      <c r="R143">
        <f t="shared" si="3"/>
        <v>0.24736262659015348</v>
      </c>
      <c r="S143">
        <f t="shared" si="3"/>
        <v>0.18007812499999989</v>
      </c>
      <c r="T143">
        <f t="shared" si="3"/>
        <v>0.14227001973457895</v>
      </c>
      <c r="U143">
        <f t="shared" si="3"/>
        <v>0.65837546988097029</v>
      </c>
      <c r="V143">
        <f t="shared" si="3"/>
        <v>0.2139307670316454</v>
      </c>
      <c r="W143">
        <f t="shared" si="3"/>
        <v>0.37623051298049159</v>
      </c>
      <c r="X143">
        <f t="shared" si="3"/>
        <v>0.23838830421297769</v>
      </c>
      <c r="Y143">
        <f t="shared" si="3"/>
        <v>0.49271568699786911</v>
      </c>
      <c r="Z143">
        <f t="shared" si="3"/>
        <v>0.64289029411625398</v>
      </c>
      <c r="AA143">
        <f t="shared" si="3"/>
        <v>0.18007812500000003</v>
      </c>
      <c r="AB143">
        <f t="shared" si="3"/>
        <v>0.33023679566626996</v>
      </c>
      <c r="AC143">
        <f t="shared" si="3"/>
        <v>0.307361854353708</v>
      </c>
      <c r="AD143">
        <f t="shared" si="3"/>
        <v>0.29220000000000002</v>
      </c>
      <c r="AE143">
        <f t="shared" si="3"/>
        <v>0.39936656291928696</v>
      </c>
      <c r="AF143">
        <f t="shared" si="3"/>
        <v>0.67941014160766333</v>
      </c>
      <c r="AG143">
        <f t="shared" si="3"/>
        <v>0.37754074450317365</v>
      </c>
      <c r="AH143">
        <f t="shared" si="3"/>
        <v>0.30962930031019359</v>
      </c>
      <c r="AI143">
        <f t="shared" si="3"/>
        <v>0.50052767346938798</v>
      </c>
      <c r="AJ143">
        <f t="shared" si="3"/>
        <v>0.54459999999999997</v>
      </c>
      <c r="AK143">
        <f t="shared" si="3"/>
        <v>0.96758398280032243</v>
      </c>
      <c r="AL143">
        <f t="shared" si="3"/>
        <v>0.83220000000000005</v>
      </c>
      <c r="AM143">
        <f t="shared" si="3"/>
        <v>0.67413000000000012</v>
      </c>
      <c r="AN143">
        <f t="shared" si="3"/>
        <v>0.33376126449505661</v>
      </c>
      <c r="AO143">
        <f t="shared" si="3"/>
        <v>0.77210844478111751</v>
      </c>
      <c r="AP143">
        <f t="shared" si="3"/>
        <v>0.55836883105619806</v>
      </c>
      <c r="AQ143">
        <f t="shared" si="3"/>
        <v>0.48054983780251587</v>
      </c>
      <c r="AR143">
        <f t="shared" si="3"/>
        <v>0.9740207286930449</v>
      </c>
      <c r="AS143">
        <f t="shared" si="3"/>
        <v>0.81739261191056023</v>
      </c>
      <c r="AT143">
        <f t="shared" si="3"/>
        <v>0.78385679823889864</v>
      </c>
    </row>
  </sheetData>
  <autoFilter ref="A4:AP141" xr:uid="{A3D84F51-FB5B-47EA-AFE3-E04B788DF1B9}"/>
  <hyperlinks>
    <hyperlink ref="AR1" r:id="rId1" xr:uid="{D55F9711-317A-48EA-922A-7F294A6C0926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Summary graph</vt:lpstr>
      <vt:lpstr>Metals by country</vt:lpstr>
    </vt:vector>
  </TitlesOfParts>
  <Company>Université de Lorraine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Rousseau</dc:creator>
  <cp:lastModifiedBy>Francois Rousseau</cp:lastModifiedBy>
  <dcterms:created xsi:type="dcterms:W3CDTF">2026-01-01T19:57:27Z</dcterms:created>
  <dcterms:modified xsi:type="dcterms:W3CDTF">2026-01-02T22:33:48Z</dcterms:modified>
</cp:coreProperties>
</file>